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9ffba67a5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3 años" sheetId="1" r:id="R7afb4a0037a34125"/>
    <x:sheet xmlns:r="http://schemas.openxmlformats.org/officeDocument/2006/relationships" name="Supuestos" sheetId="2" r:id="Rf4e27819cbd94f6a"/>
    <x:sheet xmlns:r="http://schemas.openxmlformats.org/officeDocument/2006/relationships" name="Desarrollo" sheetId="3" r:id="Rc9a3561b63be46cc"/>
    <x:sheet xmlns:r="http://schemas.openxmlformats.org/officeDocument/2006/relationships" name="Operación e Infra" sheetId="4" r:id="R6577754fa13e4ec5"/>
    <x:sheet xmlns:r="http://schemas.openxmlformats.org/officeDocument/2006/relationships" name="Proyección mensual" sheetId="5" r:id="Rf3792ff57f38432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3" authorId="0">
      <x:text>
        <x:r>
          <x:t>Fuente: archivo adjunto 25_12_15_plan_de_trabajo.xlsx | Hoja 'Plan de Trabajo - MVP' | Total HH = 1.660</x:t>
        </x:r>
      </x:text>
    </x:comment>
    <x:comment ref="B14" authorId="0">
      <x:text>
        <x:r>
          <x:t>Fuente: archivo adjunto 25_12_15_plan_de_trabajo.xlsx | Hoja 'Plan de Trabajo - MVP' | Valor HH = 18,75 €/HH</x:t>
        </x:r>
      </x:text>
    </x:comment>
    <x:comment ref="B16" authorId="0">
      <x:text>
        <x:r>
          <x:t>Fuente: archivo adjunto 25_12_15_plan_de_trabajo.xlsx | Hoja 'Plan de Trabajo - Proyecto' | Total HH = 3.361</x:t>
        </x:r>
      </x:text>
    </x:comment>
    <x:comment ref="B17" authorId="0">
      <x:text>
        <x:r>
          <x:t>Fuente: archivo adjunto 25_12_15_plan_de_trabajo.xlsx | Hoja 'Plan de Trabajo - Proyecto' | Valor HH = 18,75 €/HH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€#,##0.00;[Red](€#,##0.00);-"/>
    <x:numFmt numFmtId="165" formatCode="#,##0.00;[Red](#,##0.00);-"/>
    <x:numFmt numFmtId="166" formatCode="0.0%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1"/>
      <x:color rgb="00FFFFFF"/>
    </x:font>
    <x:font>
      <x:sz val="10"/>
      <x:color rgb="000000FF"/>
    </x:font>
    <x:font>
      <x:i/>
      <x:sz val="9"/>
      <x:color rgb="00666666"/>
    </x:font>
    <x:font>
      <x:b/>
      <x:sz val="10"/>
      <x:color rgb="00FFFFFF"/>
    </x:font>
    <x:font>
      <x:b/>
      <x:sz val="10"/>
      <x:color rgb="00000000"/>
    </x:font>
    <x:font>
      <x:b/>
      <x:sz val="12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70AD47"/>
      </x:patternFill>
    </x:fill>
    <x:fill>
      <x:patternFill patternType="solid">
        <x:fgColor rgb="00FFFDEB"/>
      </x:patternFill>
    </x:fill>
    <x:fill>
      <x:patternFill patternType="solid">
        <x:fgColor rgb="00E2F0D9"/>
      </x:patternFill>
    </x:fill>
    <x:fill>
      <x:patternFill patternType="solid">
        <x:fgColor rgb="00DDEBF7"/>
      </x:patternFill>
    </x:fill>
  </x:fills>
  <x:borders count="4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bottom style="thin">
        <x:color rgb="00D9D9D9"/>
      </x:bottom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2" borderId="0" xfId="0" applyAlignment="1">
      <x:alignment horizontal="left" vertical="center"/>
    </x:xf>
    <x:xf numFmtId="0" fontId="0" fillId="2" borderId="0" xfId="0"/>
    <x:xf numFmtId="0" fontId="2" fillId="3" borderId="0" xfId="0" applyAlignment="1">
      <x:alignment horizontal="left" vertical="center"/>
    </x:xf>
    <x:xf numFmtId="0" fontId="0" fillId="3" borderId="0" xfId="0"/>
    <x:xf numFmtId="0" fontId="6" fillId="0" borderId="3" xfId="0"/>
    <x:xf numFmtId="164" fontId="7" fillId="6" borderId="3" xfId="0" applyAlignment="1">
      <x:alignment horizontal="center"/>
    </x:xf>
    <x:xf numFmtId="1" fontId="7" fillId="6" borderId="3" xfId="0" applyAlignment="1">
      <x:alignment horizontal="center"/>
    </x:xf>
    <x:xf numFmtId="165" fontId="7" fillId="6" borderId="3" xfId="0" applyAlignment="1">
      <x:alignment horizontal="center"/>
    </x:xf>
    <x:xf numFmtId="0" fontId="5" fillId="2" borderId="1" xfId="0" applyAlignment="1">
      <x:alignment horizontal="center" vertical="center" wrapText="1"/>
    </x:xf>
    <x:xf numFmtId="0" fontId="0" fillId="0" borderId="2" xfId="0"/>
    <x:xf numFmtId="164" fontId="0" fillId="0" borderId="2" xfId="0"/>
    <x:xf numFmtId="165" fontId="0" fillId="0" borderId="2" xfId="0"/>
    <x:xf numFmtId="0" fontId="4" fillId="0" borderId="0" xfId="0"/>
    <x:xf numFmtId="1" fontId="3" fillId="4" borderId="0" xfId="0"/>
    <x:xf numFmtId="164" fontId="3" fillId="4" borderId="0" xfId="0"/>
    <x:xf numFmtId="166" fontId="3" fillId="4" borderId="0" xfId="0"/>
    <x:xf numFmtId="164" fontId="0" fillId="0" borderId="0" xfId="0"/>
    <x:xf numFmtId="0" fontId="6" fillId="0" borderId="2" xfId="0"/>
    <x:xf numFmtId="1" fontId="0" fillId="0" borderId="2" xfId="0"/>
    <x:xf numFmtId="0" fontId="6" fillId="0" borderId="0" xfId="0"/>
    <x:xf numFmtId="164" fontId="3" fillId="4" borderId="2" xfId="0"/>
    <x:xf numFmtId="164" fontId="0" fillId="5" borderId="2" xfId="0"/>
    <x:xf numFmtId="0" fontId="3" fillId="4" borderId="2" xfId="0"/>
    <x:xf numFmtId="166" fontId="0" fillId="0" borderId="2" xfId="0"/>
    <x:xf numFmtId="0" fontId="6" fillId="5" borderId="0" xfId="0"/>
    <x:xf numFmtId="165" fontId="6" fillId="5" borderId="0" xfId="0"/>
    <x:xf numFmtId="164" fontId="6" fillId="5" borderId="0" xfId="0"/>
    <x:xf numFmtId="165" fontId="7" fillId="6" borderId="3" xfId="0" applyAlignment="1">
      <x:alignment horizontal="center"/>
    </x:xf>
    <x:xf numFmtId="165" fontId="0" fillId="0" borderId="2" xfId="0"/>
    <x:xf numFmtId="166" fontId="3" fillId="4" borderId="0" xfId="0"/>
    <x:xf numFmtId="166" fontId="0" fillId="0" borderId="2" xfId="0"/>
    <x:xf numFmtId="165" fontId="6" fillId="5" borderId="0" xfId="0"/>
    <x:xf numFmtId="164" fontId="7" fillId="6" borderId="3" xfId="0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6" fillId="0" borderId="3" xfId="0" applyAlignment="1">
      <x:alignment horizontal="right" vertical="center"/>
    </x:xf>
    <x:xf numFmtId="165" fontId="7" fillId="6" borderId="3" xfId="0" applyAlignment="1">
      <x:alignment horizontal="right" vertical="center"/>
    </x:xf>
    <x:xf numFmtId="0" fontId="5" fillId="2" borderId="1" xfId="0" applyAlignment="1">
      <x:alignment horizontal="right" vertical="center"/>
    </x:xf>
    <x:xf numFmtId="164" fontId="0" fillId="0" borderId="2" xfId="0" applyAlignment="1">
      <x:alignment horizontal="right" vertical="center"/>
    </x:xf>
    <x:xf numFmtId="165" fontId="0" fillId="0" borderId="2" xfId="0" applyAlignment="1">
      <x:alignment horizontal="right" vertical="center"/>
    </x:xf>
    <x:xf numFmtId="0" fontId="0" fillId="0" borderId="2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5a12c32f34e95" /><Relationship Type="http://schemas.openxmlformats.org/officeDocument/2006/relationships/theme" Target="/xl/theme/theme1.xml" Id="R469b5ad27736442b" /><Relationship Type="http://schemas.openxmlformats.org/officeDocument/2006/relationships/sharedStrings" Target="/xl/sharedStrings.xml" Id="R6b3ed053ab1c46e8" /><Relationship Type="http://schemas.openxmlformats.org/officeDocument/2006/relationships/worksheet" Target="/xl/worksheets/sheet1.xml" Id="R7afb4a0037a34125" /><Relationship Type="http://schemas.openxmlformats.org/officeDocument/2006/relationships/worksheet" Target="/xl/worksheets/sheet2.xml" Id="Rf4e27819cbd94f6a" /><Relationship Type="http://schemas.openxmlformats.org/officeDocument/2006/relationships/worksheet" Target="/xl/worksheets/sheet3.xml" Id="Rc9a3561b63be46cc" /><Relationship Type="http://schemas.openxmlformats.org/officeDocument/2006/relationships/worksheet" Target="/xl/worksheets/sheet4.xml" Id="R6577754fa13e4ec5" /><Relationship Type="http://schemas.openxmlformats.org/officeDocument/2006/relationships/worksheet" Target="/xl/worksheets/sheet5.xml" Id="Rf3792ff57f384320" /><Relationship Type="http://schemas.microsoft.com/office/2017/10/relationships/person" Target="/xl/persons/person.xml" Id="R24d1157c9a3c46c0" /></Relationships>
</file>

<file path=xl/persons/person.xml><?xml version="1.0" encoding="utf-8"?>
<xltc:personList xmlns:xltc="http://schemas.microsoft.com/office/spreadsheetml/2018/threadedcomments">
  <xltc:person displayName="OpenAI" id="{F5DB81BC-7542-6489-6E35-71EACDCFA77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16591514c41433e" /><Relationship Type="http://schemas.openxmlformats.org/officeDocument/2006/relationships/vmlDrawing" Target="/xl/drawings/vmldrawing.vml" Id="R9bf2f992f6c14a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0" customWidth="1"/>
    <x:col min="3" max="3" width="20" customWidth="1"/>
    <x:col min="4" max="4" width="26" customWidth="1"/>
    <x:col min="5" max="5" width="20" customWidth="1"/>
    <x:col min="6" max="6" width="4" customWidth="1"/>
    <x:col min="7" max="7" width="36" customWidth="1"/>
    <x:col min="8" max="8" width="18" customWidth="1"/>
  </x:cols>
  <x:sheetData>
    <x:row r="1">
      <x:c r="A1" s="1" t="inlineStr">
        <x:is>
          <x:t xml:space="preserve">Agroapp | Resumen financiero y operativo (3 años desde el inicio del MVP)</x:t>
        </x:is>
      </x:c>
    </x:row>
    <x:row r="3">
      <x:c r="A3" s="3" t="inlineStr">
        <x:is>
          <x:t xml:space="preserve">KPIs de la simulación</x:t>
        </x:is>
      </x:c>
    </x:row>
    <x:row r="4">
      <x:c r="A4" s="5" t="inlineStr">
        <x:is>
          <x:t xml:space="preserve">Coste total desarrollo</x:t>
        </x:is>
      </x:c>
      <x:c r="B4" s="33">
        <x:f>Supuestos!B19</x:f>
        <x:v>94143.75</x:v>
      </x:c>
      <x:c r="C4" s="34" t="n"/>
      <x:c r="D4" s="35" t="inlineStr">
        <x:is>
          <x:t xml:space="preserve">Pico de financiación necesario</x:t>
        </x:is>
      </x:c>
      <x:c r="E4" s="33">
        <x:f>-MIN('Proyección mensual'!$S$6:$S$41)</x:f>
        <x:v>263627.9670645479</x:v>
      </x:c>
      <x:c r="G4" s="5" t="inlineStr">
        <x:is>
          <x:t xml:space="preserve">Mes estimado de break-even mensual</x:t>
        </x:is>
      </x:c>
      <x:c r="H4" s="7">
        <x:f>INDEX('Proyección mensual'!$A$6:$A$41,MATCH(TRUE,'Proyección mensual'!$T$6:$T$41,0))</x:f>
        <x:v>24</x:v>
      </x:c>
    </x:row>
    <x:row r="5">
      <x:c r="B5" s="34" t="n"/>
      <x:c r="C5" s="34" t="n"/>
      <x:c r="D5" s="34" t="n"/>
      <x:c r="E5" s="34" t="n"/>
    </x:row>
    <x:row r="6">
      <x:c r="B6" s="34" t="n"/>
      <x:c r="C6" s="34" t="n"/>
      <x:c r="D6" s="34" t="n"/>
      <x:c r="E6" s="34" t="n"/>
    </x:row>
    <x:row r="7">
      <x:c r="A7" s="5" t="inlineStr">
        <x:is>
          <x:t xml:space="preserve">Clientes activos al final del año 3</x:t>
        </x:is>
      </x:c>
      <x:c r="B7" s="36">
        <x:f>'Proyección mensual'!H41</x:f>
        <x:v>751.1207634915435</x:v>
      </x:c>
      <x:c r="C7" s="34" t="n"/>
      <x:c r="D7" s="35" t="inlineStr">
        <x:is>
          <x:t xml:space="preserve">ARR de salida (año 3)</x:t>
        </x:is>
      </x:c>
      <x:c r="E7" s="33">
        <x:f>'Proyección mensual'!H41*'Proyección mensual'!J41*12</x:f>
        <x:v>811210.4245708669</x:v>
      </x:c>
      <x:c r="G7" s="5" t="inlineStr">
        <x:is>
          <x:t xml:space="preserve">Ingresos acumulados 3 años</x:t>
        </x:is>
      </x:c>
      <x:c r="H7" s="6">
        <x:f>SUM('Proyección mensual'!$K$6:$K$41)</x:f>
        <x:v>695935.1442426292</x:v>
      </x:c>
    </x:row>
    <x:row r="8">
      <x:c r="B8" s="34" t="n"/>
      <x:c r="C8" s="34" t="n"/>
      <x:c r="D8" s="34" t="n"/>
      <x:c r="E8" s="34" t="n"/>
    </x:row>
    <x:row r="9">
      <x:c r="B9" s="34" t="n"/>
      <x:c r="C9" s="34" t="n"/>
      <x:c r="D9" s="34" t="n"/>
      <x:c r="E9" s="34" t="n"/>
    </x:row>
    <x:row r="10">
      <x:c r="A10" s="3" t="inlineStr">
        <x:is>
          <x:t xml:space="preserve">Resumen anual</x:t>
        </x:is>
      </x:c>
    </x:row>
    <x:row r="11" ht="22" customHeight="1">
      <x:c r="A11" s="9" t="inlineStr">
        <x:is>
          <x:t xml:space="preserve">Concepto</x:t>
        </x:is>
      </x:c>
      <x:c r="B11" s="37" t="inlineStr">
        <x:is>
          <x:t xml:space="preserve">Año 1</x:t>
        </x:is>
      </x:c>
      <x:c r="C11" s="37" t="inlineStr">
        <x:is>
          <x:t xml:space="preserve">Año 2</x:t>
        </x:is>
      </x:c>
      <x:c r="D11" s="37" t="inlineStr">
        <x:is>
          <x:t xml:space="preserve">Año 3</x:t>
        </x:is>
      </x:c>
      <x:c r="E11" s="37" t="inlineStr">
        <x:is>
          <x:t xml:space="preserve">Total 3 años</x:t>
        </x:is>
      </x:c>
    </x:row>
    <x:row r="12">
      <x:c r="A12" s="10" t="inlineStr">
        <x:is>
          <x:t xml:space="preserve">Ingresos SaaS</x:t>
        </x:is>
      </x:c>
      <x:c r="B12" s="38">
        <x:f>SUMIF('Proyección mensual'!$B$6:$B$41,1,'Proyección mensual'!$K$6:$K$41)</x:f>
        <x:v>9005.36602447175</x:v>
      </x:c>
      <x:c r="C12" s="38">
        <x:f>SUMIF('Proyección mensual'!$B$6:$B$41,2,'Proyección mensual'!$K$6:$K$41)</x:f>
        <x:v>154689.01484335618</x:v>
      </x:c>
      <x:c r="D12" s="38">
        <x:f>SUMIF('Proyección mensual'!$B$6:$B$41,3,'Proyección mensual'!$K$6:$K$41)</x:f>
        <x:v>532240.7633748013</x:v>
      </x:c>
      <x:c r="E12" s="38">
        <x:f>SUM(B12:D12)</x:f>
        <x:v>695935.1442426292</x:v>
      </x:c>
    </x:row>
    <x:row r="13">
      <x:c r="A13" s="10" t="inlineStr">
        <x:is>
          <x:t xml:space="preserve">Coste desarrollo</x:t>
        </x:is>
      </x:c>
      <x:c r="B13" s="38">
        <x:f>SUMIF('Proyección mensual'!$B$6:$B$41,1,'Proyección mensual'!$L$6:$L$41)</x:f>
        <x:v>94143.75</x:v>
      </x:c>
      <x:c r="C13" s="38">
        <x:f>SUMIF('Proyección mensual'!$B$6:$B$41,2,'Proyección mensual'!$L$6:$L$41)</x:f>
        <x:v>0</x:v>
      </x:c>
      <x:c r="D13" s="38">
        <x:f>SUMIF('Proyección mensual'!$B$6:$B$41,3,'Proyección mensual'!$L$6:$L$41)</x:f>
        <x:v>0</x:v>
      </x:c>
      <x:c r="E13" s="38">
        <x:f>SUM(B13:D13)</x:f>
        <x:v>94143.75</x:v>
      </x:c>
    </x:row>
    <x:row r="14">
      <x:c r="A14" s="10" t="inlineStr">
        <x:is>
          <x:t xml:space="preserve">Equipo operación</x:t>
        </x:is>
      </x:c>
      <x:c r="B14" s="38">
        <x:f>SUMIF('Proyección mensual'!$B$6:$B$41,1,'Proyección mensual'!$M$6:$M$41)</x:f>
        <x:v>76800</x:v>
      </x:c>
      <x:c r="C14" s="38">
        <x:f>SUMIF('Proyección mensual'!$B$6:$B$41,2,'Proyección mensual'!$M$6:$M$41)</x:f>
        <x:v>136800</x:v>
      </x:c>
      <x:c r="D14" s="38">
        <x:f>SUMIF('Proyección mensual'!$B$6:$B$41,3,'Proyección mensual'!$M$6:$M$41)</x:f>
        <x:v>193200</x:v>
      </x:c>
      <x:c r="E14" s="38">
        <x:f>SUM(B14:D14)</x:f>
        <x:v>406800</x:v>
      </x:c>
    </x:row>
    <x:row r="15">
      <x:c r="A15" s="10" t="inlineStr">
        <x:is>
          <x:t xml:space="preserve">Marketing y ventas</x:t>
        </x:is>
      </x:c>
      <x:c r="B15" s="38">
        <x:f>SUMIF('Proyección mensual'!$B$6:$B$41,1,'Proyección mensual'!$N$6:$N$41)</x:f>
        <x:v>13300</x:v>
      </x:c>
      <x:c r="C15" s="38">
        <x:f>SUMIF('Proyección mensual'!$B$6:$B$41,2,'Proyección mensual'!$N$6:$N$41)</x:f>
        <x:v>70200</x:v>
      </x:c>
      <x:c r="D15" s="38">
        <x:f>SUMIF('Proyección mensual'!$B$6:$B$41,3,'Proyección mensual'!$N$6:$N$41)</x:f>
        <x:v>105600</x:v>
      </x:c>
      <x:c r="E15" s="38">
        <x:f>SUM(B15:D15)</x:f>
        <x:v>189100</x:v>
      </x:c>
    </x:row>
    <x:row r="16">
      <x:c r="A16" s="10" t="inlineStr">
        <x:is>
          <x:t xml:space="preserve">Infraestructura total</x:t>
        </x:is>
      </x:c>
      <x:c r="B16" s="38">
        <x:f>SUMIF('Proyección mensual'!$B$6:$B$41,1,'Proyección mensual'!$O$6:$O$41)+SUMIF('Proyección mensual'!$B$6:$B$41,1,'Proyección mensual'!$P$6:$P$41)</x:f>
        <x:v>11913.487633784453</x:v>
      </x:c>
      <x:c r="C16" s="38">
        <x:f>SUMIF('Proyección mensual'!$B$6:$B$41,2,'Proyección mensual'!$O$6:$O$41)+SUMIF('Proyección mensual'!$B$6:$B$41,2,'Proyección mensual'!$P$6:$P$41)</x:f>
        <x:v>22636.36986369</x:v>
      </x:c>
      <x:c r="D16" s="38">
        <x:f>SUMIF('Proyección mensual'!$B$6:$B$41,3,'Proyección mensual'!$O$6:$O$41)+SUMIF('Proyección mensual'!$B$6:$B$41,3,'Proyección mensual'!$P$6:$P$41)</x:f>
        <x:v>41100.412021812015</x:v>
      </x:c>
      <x:c r="E16" s="38">
        <x:f>SUM(B16:D16)</x:f>
        <x:v>75650.26951928646</x:v>
      </x:c>
    </x:row>
    <x:row r="17">
      <x:c r="A17" s="10" t="inlineStr">
        <x:is>
          <x:t xml:space="preserve">Coste total</x:t>
        </x:is>
      </x:c>
      <x:c r="B17" s="38">
        <x:f>SUMIF('Proyección mensual'!$B$6:$B$41,1,'Proyección mensual'!$Q$6:$Q$41)</x:f>
        <x:v>196157.23763378448</x:v>
      </x:c>
      <x:c r="C17" s="38">
        <x:f>SUMIF('Proyección mensual'!$B$6:$B$41,2,'Proyección mensual'!$Q$6:$Q$41)</x:f>
        <x:v>229636.36986369</x:v>
      </x:c>
      <x:c r="D17" s="38">
        <x:f>SUMIF('Proyección mensual'!$B$6:$B$41,3,'Proyección mensual'!$Q$6:$Q$41)</x:f>
        <x:v>339900.41202181205</x:v>
      </x:c>
      <x:c r="E17" s="38">
        <x:f>SUM(B17:D17)</x:f>
        <x:v>765694.0195192865</x:v>
      </x:c>
    </x:row>
    <x:row r="18">
      <x:c r="A18" s="10" t="inlineStr">
        <x:is>
          <x:t xml:space="preserve">Resultado</x:t>
        </x:is>
      </x:c>
      <x:c r="B18" s="38">
        <x:f>SUMIF('Proyección mensual'!$B$6:$B$41,1,'Proyección mensual'!$R$6:$R$41)</x:f>
        <x:v>-187151.87160931272</x:v>
      </x:c>
      <x:c r="C18" s="38">
        <x:f>SUMIF('Proyección mensual'!$B$6:$B$41,2,'Proyección mensual'!$R$6:$R$41)</x:f>
        <x:v>-74947.35502033381</x:v>
      </x:c>
      <x:c r="D18" s="38">
        <x:f>SUMIF('Proyección mensual'!$B$6:$B$41,3,'Proyección mensual'!$R$6:$R$41)</x:f>
        <x:v>192340.35135298927</x:v>
      </x:c>
      <x:c r="E18" s="38">
        <x:f>SUM(B18:D18)</x:f>
        <x:v>-69758.87527665726</x:v>
      </x:c>
    </x:row>
    <x:row r="19">
      <x:c r="B19" s="34" t="n"/>
      <x:c r="C19" s="34" t="n"/>
      <x:c r="D19" s="34" t="n"/>
      <x:c r="E19" s="34" t="n"/>
    </x:row>
    <x:row r="20">
      <x:c r="B20" s="34" t="n"/>
      <x:c r="C20" s="34" t="n"/>
      <x:c r="D20" s="34" t="n"/>
      <x:c r="E20" s="34" t="n"/>
    </x:row>
    <x:row r="21">
      <x:c r="A21" s="3" t="inlineStr">
        <x:is>
          <x:t xml:space="preserve">Indicadores de clientes</x:t>
        </x:is>
      </x:c>
    </x:row>
    <x:row r="22" ht="22" customHeight="1">
      <x:c r="A22" s="9" t="inlineStr">
        <x:is>
          <x:t xml:space="preserve">Concepto</x:t>
        </x:is>
      </x:c>
      <x:c r="B22" s="37" t="inlineStr">
        <x:is>
          <x:t xml:space="preserve">Año 1</x:t>
        </x:is>
      </x:c>
      <x:c r="C22" s="37" t="inlineStr">
        <x:is>
          <x:t xml:space="preserve">Año 2</x:t>
        </x:is>
      </x:c>
      <x:c r="D22" s="37" t="inlineStr">
        <x:is>
          <x:t xml:space="preserve">Año 3</x:t>
        </x:is>
      </x:c>
      <x:c r="E22" s="37" t="inlineStr">
        <x:is>
          <x:t xml:space="preserve">Observación</x:t>
        </x:is>
      </x:c>
    </x:row>
    <x:row r="23">
      <x:c r="A23" s="10" t="inlineStr">
        <x:is>
          <x:t xml:space="preserve">Clientes nuevos</x:t>
        </x:is>
      </x:c>
      <x:c r="B23" s="39">
        <x:f>SUMIF('Proyección mensual'!$B$6:$B$41,1,'Proyección mensual'!$D$6:$D$41)</x:f>
        <x:v>47</x:v>
      </x:c>
      <x:c r="C23" s="39">
        <x:f>SUMIF('Proyección mensual'!$B$6:$B$41,2,'Proyección mensual'!$D$6:$D$41)</x:f>
        <x:v>257</x:v>
      </x:c>
      <x:c r="D23" s="39">
        <x:f>SUMIF('Proyección mensual'!$B$6:$B$41,3,'Proyección mensual'!$D$6:$D$41)</x:f>
        <x:v>558</x:v>
      </x:c>
      <x:c r="E23" s="40" t="inlineStr">
        <x:is>
          <x:t xml:space="preserve">Captación acumulada anual</x:t>
        </x:is>
      </x:c>
    </x:row>
    <x:row r="24">
      <x:c r="A24" s="10" t="inlineStr">
        <x:is>
          <x:t xml:space="preserve">Clientes activos fin de año</x:t>
        </x:is>
      </x:c>
      <x:c r="B24" s="39">
        <x:f>'Proyección mensual'!H17</x:f>
        <x:v>45.3155205390933</x:v>
      </x:c>
      <x:c r="C24" s="39">
        <x:f>'Proyección mensual'!H29</x:f>
        <x:v>278.281261119554</x:v>
      </x:c>
      <x:c r="D24" s="39">
        <x:f>'Proyección mensual'!H41</x:f>
        <x:v>751.1207634915435</x:v>
      </x:c>
      <x:c r="E24" s="40" t="inlineStr">
        <x:is>
          <x:t xml:space="preserve">Base activa al cierre</x:t>
        </x:is>
      </x:c>
    </x:row>
    <x:row r="25">
      <x:c r="A25" s="10" t="inlineStr">
        <x:is>
          <x:t xml:space="preserve">ARR de salida del año</x:t>
        </x:is>
      </x:c>
      <x:c r="B25" s="38">
        <x:f>'Proyección mensual'!H17*'Proyección mensual'!J17*12</x:f>
        <x:v>48940.76218222076</x:v>
      </x:c>
      <x:c r="C25" s="38">
        <x:f>'Proyección mensual'!H29*'Proyección mensual'!J29*12</x:f>
        <x:v>300543.76200911833</x:v>
      </x:c>
      <x:c r="D25" s="38">
        <x:f>'Proyección mensual'!H41*'Proyección mensual'!J41*12</x:f>
        <x:v>811210.4245708669</x:v>
      </x:c>
      <x:c r="E25" s="40" t="inlineStr">
        <x:is>
          <x:t xml:space="preserve">Ingresos recurrentes anualizados</x:t>
        </x:is>
      </x:c>
    </x:row>
    <x:row r="27">
      <x:c r="A27" s="13" t="inlineStr">
        <x:is>
          <x:t xml:space="preserve">Hipótesis de captación: rampa gradual desde pilotos MVP hasta escalado comercial tras el producto completo.</x:t>
        </x:is>
      </x:c>
    </x:row>
    <x:row r="28">
      <x:c r="A28" s="13" t="inlineStr">
        <x:is>
          <x:t xml:space="preserve">El modelo usa un churn mensual del 1,5% y costes operativos crecientes por fase.</x:t>
        </x:is>
      </x:c>
    </x:row>
  </x:sheetData>
  <x:mergeCells>
    <x:mergeCell ref="A21:E21"/>
    <x:mergeCell ref="A3:H3"/>
    <x:mergeCell ref="A10:E10"/>
    <x:mergeCell ref="A28:H28"/>
    <x:mergeCell ref="A1:H1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0" customWidth="1"/>
    <x:col min="2" max="2" width="16" customWidth="1"/>
    <x:col min="3" max="3" width="18" customWidth="1"/>
    <x:col min="4" max="4" width="14" customWidth="1"/>
    <x:col min="5" max="5" width="24" customWidth="1"/>
    <x:col min="6" max="6" width="12" customWidth="1"/>
  </x:cols>
  <x:sheetData>
    <x:row r="1">
      <x:c r="A1" s="1" t="inlineStr">
        <x:is>
          <x:t xml:space="preserve">Agroapp | Supuestos del modelo a 3 años</x:t>
        </x:is>
      </x:c>
    </x:row>
    <x:row r="3">
      <x:c r="A3" s="3" t="inlineStr">
        <x:is>
          <x:t xml:space="preserve">Supuestos generales</x:t>
        </x:is>
      </x:c>
    </x:row>
    <x:row r="4">
      <x:c r="A4" t="inlineStr">
        <x:is>
          <x:t xml:space="preserve">Plazo desarrollo MVP (meses)</x:t>
        </x:is>
      </x:c>
      <x:c r="B4" s="14" t="n">
        <x:v>4</x:v>
      </x:c>
      <x:c r="C4" s="13" t="inlineStr">
        <x:is>
          <x:t xml:space="preserve">Editable</x:t>
        </x:is>
      </x:c>
    </x:row>
    <x:row r="5">
      <x:c r="A5" t="inlineStr">
        <x:is>
          <x:t xml:space="preserve">Plazo desarrollo proyecto completo adicional (meses)</x:t>
        </x:is>
      </x:c>
      <x:c r="B5" s="14" t="n">
        <x:v>6</x:v>
      </x:c>
      <x:c r="C5" s="13" t="inlineStr">
        <x:is>
          <x:t xml:space="preserve">Editable</x:t>
        </x:is>
      </x:c>
    </x:row>
    <x:row r="6">
      <x:c r="A6" t="inlineStr">
        <x:is>
          <x:t xml:space="preserve">Mes lanzamiento comercial MVP</x:t>
        </x:is>
      </x:c>
      <x:c r="B6" s="14" t="n">
        <x:v>5</x:v>
      </x:c>
      <x:c r="C6" s="13" t="inlineStr">
        <x:is>
          <x:t xml:space="preserve">Editable</x:t>
        </x:is>
      </x:c>
    </x:row>
    <x:row r="7">
      <x:c r="A7" t="inlineStr">
        <x:is>
          <x:t xml:space="preserve">Mes lanzamiento producto completo</x:t>
        </x:is>
      </x:c>
      <x:c r="B7" s="14" t="n">
        <x:v>11</x:v>
      </x:c>
      <x:c r="C7" s="13" t="inlineStr">
        <x:is>
          <x:t xml:space="preserve">Editable</x:t>
        </x:is>
      </x:c>
    </x:row>
    <x:row r="8">
      <x:c r="A8" t="inlineStr">
        <x:is>
          <x:t xml:space="preserve">Precio mensual MVP</x:t>
        </x:is>
      </x:c>
      <x:c r="B8" s="15" t="n">
        <x:v>40</x:v>
      </x:c>
      <x:c r="C8" s="13" t="inlineStr">
        <x:is>
          <x:t xml:space="preserve">Editable</x:t>
        </x:is>
      </x:c>
    </x:row>
    <x:row r="9">
      <x:c r="A9" t="inlineStr">
        <x:is>
          <x:t xml:space="preserve">Precio mensual producto completo</x:t>
        </x:is>
      </x:c>
      <x:c r="B9" s="15" t="n">
        <x:v>90</x:v>
      </x:c>
      <x:c r="C9" s="13" t="inlineStr">
        <x:is>
          <x:t xml:space="preserve">Editable</x:t>
        </x:is>
      </x:c>
    </x:row>
    <x:row r="10">
      <x:c r="A10" t="inlineStr">
        <x:is>
          <x:t xml:space="preserve">Churn mensual de clientes</x:t>
        </x:is>
      </x:c>
      <x:c r="B10" s="30" t="n">
        <x:v>0.015</x:v>
      </x:c>
      <x:c r="C10" s="13" t="inlineStr">
        <x:is>
          <x:t xml:space="preserve">Editable</x:t>
        </x:is>
      </x:c>
    </x:row>
    <x:row r="12">
      <x:c r="A12" s="3" t="inlineStr">
        <x:is>
          <x:t xml:space="preserve">Costes de desarrollo importados del Excel adjunto</x:t>
        </x:is>
      </x:c>
    </x:row>
    <x:row r="13">
      <x:c r="A13" t="inlineStr">
        <x:is>
          <x:t xml:space="preserve">HH totales MVP</x:t>
        </x:is>
      </x:c>
      <x:c r="B13" s="14" t="n">
        <x:v>1660</x:v>
      </x:c>
    </x:row>
    <x:row r="14">
      <x:c r="A14" t="inlineStr">
        <x:is>
          <x:t xml:space="preserve">Tarifa media desarrollo MVP (€/HH)</x:t>
        </x:is>
      </x:c>
      <x:c r="B14" s="15" t="n">
        <x:v>18.75</x:v>
      </x:c>
    </x:row>
    <x:row r="15">
      <x:c r="A15" t="inlineStr">
        <x:is>
          <x:t xml:space="preserve">Coste total MVP</x:t>
        </x:is>
      </x:c>
      <x:c r="B15" s="17">
        <x:f>B13*B14</x:f>
        <x:v>31125</x:v>
      </x:c>
    </x:row>
    <x:row r="16">
      <x:c r="A16" t="inlineStr">
        <x:is>
          <x:t xml:space="preserve">HH totales proyecto completo adicional</x:t>
        </x:is>
      </x:c>
      <x:c r="B16" s="14" t="n">
        <x:v>3361</x:v>
      </x:c>
    </x:row>
    <x:row r="17">
      <x:c r="A17" t="inlineStr">
        <x:is>
          <x:t xml:space="preserve">Tarifa media proyecto completo (€/HH)</x:t>
        </x:is>
      </x:c>
      <x:c r="B17" s="15" t="n">
        <x:v>18.75</x:v>
      </x:c>
    </x:row>
    <x:row r="18">
      <x:c r="A18" t="inlineStr">
        <x:is>
          <x:t xml:space="preserve">Coste total proyecto completo adicional</x:t>
        </x:is>
      </x:c>
      <x:c r="B18" s="17">
        <x:f>B16*B17</x:f>
        <x:v>63018.75</x:v>
      </x:c>
    </x:row>
    <x:row r="19">
      <x:c r="A19" t="inlineStr">
        <x:is>
          <x:t xml:space="preserve">Coste total desarrollo (MVP + proyecto completo)</x:t>
        </x:is>
      </x:c>
      <x:c r="B19" s="17">
        <x:f>B15+B18</x:f>
        <x:v>94143.75</x:v>
      </x:c>
    </x:row>
    <x:row r="22">
      <x:c r="A22" s="3" t="inlineStr">
        <x:is>
          <x:t xml:space="preserve">Fases operativas del modelo</x:t>
        </x:is>
      </x:c>
    </x:row>
    <x:row r="23">
      <x:c r="A23" s="9" t="inlineStr">
        <x:is>
          <x:t xml:space="preserve">Fase</x:t>
        </x:is>
      </x:c>
      <x:c r="B23" s="9" t="inlineStr">
        <x:is>
          <x:t xml:space="preserve">Descripción</x:t>
        </x:is>
      </x:c>
      <x:c r="C23" s="9" t="inlineStr">
        <x:is>
          <x:t xml:space="preserve">Mes inicio</x:t>
        </x:is>
      </x:c>
      <x:c r="D23" s="9" t="inlineStr">
        <x:is>
          <x:t xml:space="preserve">Mes fin</x:t>
        </x:is>
      </x:c>
      <x:c r="E23" s="9" t="inlineStr">
        <x:is>
          <x:t xml:space="preserve">Uso</x:t>
        </x:is>
      </x:c>
    </x:row>
    <x:row r="24">
      <x:c r="A24" s="10" t="n">
        <x:v>1</x:v>
      </x:c>
      <x:c r="B24" s="10" t="inlineStr">
        <x:is>
          <x:t xml:space="preserve">Pre-MVP</x:t>
        </x:is>
      </x:c>
      <x:c r="C24" s="10" t="n">
        <x:v>1</x:v>
      </x:c>
      <x:c r="D24" s="10" t="n">
        <x:v>4</x:v>
      </x:c>
      <x:c r="E24" s="10" t="inlineStr">
        <x:is>
          <x:t xml:space="preserve">Solo desarrollo</x:t>
        </x:is>
      </x:c>
    </x:row>
    <x:row r="25">
      <x:c r="A25" s="10" t="n">
        <x:v>2</x:v>
      </x:c>
      <x:c r="B25" s="10" t="inlineStr">
        <x:is>
          <x:t xml:space="preserve">MVP comercial + build producto completo</x:t>
        </x:is>
      </x:c>
      <x:c r="C25" s="10" t="n">
        <x:v>5</x:v>
      </x:c>
      <x:c r="D25" s="10" t="n">
        <x:v>10</x:v>
      </x:c>
      <x:c r="E25" s="10" t="inlineStr">
        <x:is>
          <x:t xml:space="preserve">Clientes a 40 €/mes</x:t>
        </x:is>
      </x:c>
    </x:row>
    <x:row r="26">
      <x:c r="A26" s="10" t="n">
        <x:v>3</x:v>
      </x:c>
      <x:c r="B26" s="10" t="inlineStr">
        <x:is>
          <x:t xml:space="preserve">Producto completo en mercado</x:t>
        </x:is>
      </x:c>
      <x:c r="C26" s="10" t="n">
        <x:v>11</x:v>
      </x:c>
      <x:c r="D26" s="10" t="n">
        <x:v>18</x:v>
      </x:c>
      <x:c r="E26" s="10" t="inlineStr">
        <x:is>
          <x:t xml:space="preserve">Escalado inicial</x:t>
        </x:is>
      </x:c>
    </x:row>
    <x:row r="27">
      <x:c r="A27" s="10" t="n">
        <x:v>4</x:v>
      </x:c>
      <x:c r="B27" s="10" t="inlineStr">
        <x:is>
          <x:t xml:space="preserve">Escalado comercial</x:t>
        </x:is>
      </x:c>
      <x:c r="C27" s="10" t="n">
        <x:v>19</x:v>
      </x:c>
      <x:c r="D27" s="10" t="n">
        <x:v>24</x:v>
      </x:c>
      <x:c r="E27" s="10" t="inlineStr">
        <x:is>
          <x:t xml:space="preserve">Más soporte y ventas</x:t>
        </x:is>
      </x:c>
    </x:row>
    <x:row r="28">
      <x:c r="A28" s="10" t="n">
        <x:v>5</x:v>
      </x:c>
      <x:c r="B28" s="10" t="inlineStr">
        <x:is>
          <x:t xml:space="preserve">Escala operativa</x:t>
        </x:is>
      </x:c>
      <x:c r="C28" s="10" t="n">
        <x:v>25</x:v>
      </x:c>
      <x:c r="D28" s="10" t="n">
        <x:v>36</x:v>
      </x:c>
      <x:c r="E28" s="10" t="inlineStr">
        <x:is>
          <x:t xml:space="preserve">Capacidad comercial y técnica ampliada</x:t>
        </x:is>
      </x:c>
    </x:row>
    <x:row r="31">
      <x:c r="A31" s="3" t="inlineStr">
        <x:is>
          <x:t xml:space="preserve">Notas de modelización</x:t>
        </x:is>
      </x:c>
    </x:row>
    <x:row r="32">
      <x:c r="A32" s="13" t="inlineStr">
        <x:is>
          <x:t xml:space="preserve">• Modelo en términos de caja operativa (sin IVA ni financiación).</x:t>
        </x:is>
      </x:c>
    </x:row>
    <x:row r="33">
      <x:c r="A33" s="13" t="inlineStr">
        <x:is>
          <x:t xml:space="preserve">• Suscripción mensual: 40 €/mes con MVP y 90 €/mes tras el producto completo.</x:t>
        </x:is>
      </x:c>
    </x:row>
    <x:row r="34">
      <x:c r="A34" s="13" t="inlineStr">
        <x:is>
          <x:t xml:space="preserve">• Los costes salariales se tratan como coste empresa estimado y escalan por fase.</x:t>
        </x:is>
      </x:c>
    </x:row>
    <x:row r="35">
      <x:c r="A35" s="13" t="inlineStr">
        <x:is>
          <x:t xml:space="preserve">• La captación mensual se deja editable en la hoja 'Proyección mensual'.</x:t>
        </x:is>
      </x:c>
    </x:row>
  </x:sheetData>
  <x:mergeCells>
    <x:mergeCell ref="A34:E34"/>
    <x:mergeCell ref="A35:E35"/>
    <x:mergeCell ref="A12:D12"/>
    <x:mergeCell ref="A1:F1"/>
    <x:mergeCell ref="A33:E33"/>
    <x:mergeCell ref="A3:C3"/>
    <x:mergeCell ref="A32:E32"/>
    <x:mergeCell ref="A31:E31"/>
    <x:mergeCell ref="A22:E22"/>
  </x:mergeCells>
  <x:pageMargins left="0.7" right="0.7" top="0.75" bottom="0.75" header="0.3" footer="0.3"/>
  <x:legacyDrawing xmlns:r="http://schemas.openxmlformats.org/officeDocument/2006/relationships" r:id="R9bf2f992f6c14ae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.5" customWidth="1"/>
    <x:col min="3" max="3" width="9.5" customWidth="1"/>
    <x:col min="4" max="4" width="9.5" customWidth="1"/>
    <x:col min="5" max="5" width="9.5" customWidth="1"/>
    <x:col min="6" max="6" width="9.5" customWidth="1"/>
    <x:col min="7" max="7" width="9.5" customWidth="1"/>
    <x:col min="8" max="8" width="9.5" customWidth="1"/>
    <x:col min="9" max="9" width="9.5" customWidth="1"/>
    <x:col min="10" max="10" width="9.5" customWidth="1"/>
    <x:col min="11" max="11" width="9.5" customWidth="1"/>
    <x:col min="12" max="12" width="9.5" customWidth="1"/>
    <x:col min="13" max="13" width="9.5" customWidth="1"/>
    <x:col min="14" max="14" width="9.5" customWidth="1"/>
    <x:col min="15" max="15" width="9.5" customWidth="1"/>
    <x:col min="16" max="16" width="9.5" customWidth="1"/>
    <x:col min="17" max="17" width="9.5" customWidth="1"/>
    <x:col min="18" max="18" width="9.5" customWidth="1"/>
    <x:col min="19" max="19" width="9.5" customWidth="1"/>
    <x:col min="20" max="20" width="9.5" customWidth="1"/>
    <x:col min="21" max="21" width="9.5" customWidth="1"/>
    <x:col min="22" max="22" width="9.5" customWidth="1"/>
    <x:col min="23" max="23" width="9.5" customWidth="1"/>
    <x:col min="24" max="24" width="9.5" customWidth="1"/>
    <x:col min="25" max="25" width="9.5" customWidth="1"/>
    <x:col min="26" max="26" width="9.5" customWidth="1"/>
    <x:col min="27" max="27" width="9.5" customWidth="1"/>
    <x:col min="28" max="28" width="9.5" customWidth="1"/>
    <x:col min="29" max="29" width="9.5" customWidth="1"/>
    <x:col min="30" max="30" width="9.5" customWidth="1"/>
    <x:col min="31" max="31" width="9.5" customWidth="1"/>
    <x:col min="32" max="32" width="9.5" customWidth="1"/>
    <x:col min="33" max="33" width="9.5" customWidth="1"/>
    <x:col min="34" max="34" width="9.5" customWidth="1"/>
    <x:col min="35" max="35" width="9.5" customWidth="1"/>
    <x:col min="36" max="36" width="9.5" customWidth="1"/>
    <x:col min="37" max="37" width="9.5" customWidth="1"/>
    <x:col min="38" max="38" width="9.5" customWidth="1"/>
  </x:cols>
  <x:sheetData>
    <x:row r="1">
      <x:c r="A1" s="1" t="inlineStr">
        <x:is>
          <x:t xml:space="preserve">Agroapp | Coste de desarrollo comprimido (4 meses MVP + 6 meses proyecto completo)</x:t>
        </x:is>
      </x:c>
    </x:row>
    <x:row r="3">
      <x:c r="A3" s="9" t="inlineStr">
        <x:is>
          <x:t xml:space="preserve">Bloque</x:t>
        </x:is>
      </x:c>
      <x:c r="B3" s="9" t="inlineStr">
        <x:is>
          <x:t xml:space="preserve">HH totales</x:t>
        </x:is>
      </x:c>
      <x:c r="C3" s="9" t="inlineStr">
        <x:is>
          <x:t xml:space="preserve">Tarifa €/HH</x:t>
        </x:is>
      </x:c>
      <x:c r="D3" s="9" t="inlineStr">
        <x:is>
          <x:t xml:space="preserve">Coste total</x:t>
        </x:is>
      </x:c>
      <x:c r="E3" s="9" t="inlineStr">
        <x:is>
          <x:t xml:space="preserve">Plazo (meses)</x:t>
        </x:is>
      </x:c>
      <x:c r="F3" s="9" t="inlineStr">
        <x:is>
          <x:t xml:space="preserve">Coste mensual</x:t>
        </x:is>
      </x:c>
      <x:c r="G3" s="9" t="inlineStr">
        <x:is>
          <x:t xml:space="preserve">Mes inicio</x:t>
        </x:is>
      </x:c>
      <x:c r="H3" s="9" t="inlineStr">
        <x:is>
          <x:t xml:space="preserve">Mes fin</x:t>
        </x:is>
      </x:c>
      <x:c r="I3" s="9" t="inlineStr">
        <x:is>
          <x:t xml:space="preserve">Observación</x:t>
        </x:is>
      </x:c>
    </x:row>
    <x:row r="4">
      <x:c r="A4" s="18" t="inlineStr">
        <x:is>
          <x:t xml:space="preserve">MVP</x:t>
        </x:is>
      </x:c>
      <x:c r="B4" s="19">
        <x:f>Supuestos!B13</x:f>
        <x:v>1660</x:v>
      </x:c>
      <x:c r="C4" s="11">
        <x:f>Supuestos!B14</x:f>
        <x:v>18.75</x:v>
      </x:c>
      <x:c r="D4" s="11">
        <x:f>B4*C4</x:f>
        <x:v>31125</x:v>
      </x:c>
      <x:c r="E4" s="19">
        <x:f>Supuestos!B4</x:f>
        <x:v>4</x:v>
      </x:c>
      <x:c r="F4" s="11">
        <x:f>D4/E4</x:f>
        <x:v>7781.25</x:v>
      </x:c>
      <x:c r="G4" s="19" t="n">
        <x:v>1</x:v>
      </x:c>
      <x:c r="H4" s="19">
        <x:f>G4+E4-1</x:f>
        <x:v>4</x:v>
      </x:c>
      <x:c r="I4" s="10" t="inlineStr">
        <x:is>
          <x:t xml:space="preserve">Lanzamiento comercial en mes 5</x:t>
        </x:is>
      </x:c>
    </x:row>
    <x:row r="5">
      <x:c r="A5" s="18" t="inlineStr">
        <x:is>
          <x:t xml:space="preserve">Proyecto completo adicional</x:t>
        </x:is>
      </x:c>
      <x:c r="B5" s="19">
        <x:f>Supuestos!B16</x:f>
        <x:v>3361</x:v>
      </x:c>
      <x:c r="C5" s="11">
        <x:f>Supuestos!B17</x:f>
        <x:v>18.75</x:v>
      </x:c>
      <x:c r="D5" s="11">
        <x:f>B5*C5</x:f>
        <x:v>63018.75</x:v>
      </x:c>
      <x:c r="E5" s="19">
        <x:f>Supuestos!B5</x:f>
        <x:v>6</x:v>
      </x:c>
      <x:c r="F5" s="11">
        <x:f>D5/E5</x:f>
        <x:v>10503.125</x:v>
      </x:c>
      <x:c r="G5" s="19">
        <x:f>Supuestos!B6</x:f>
        <x:v>5</x:v>
      </x:c>
      <x:c r="H5" s="19">
        <x:f>G5+E5-1</x:f>
        <x:v>10</x:v>
      </x:c>
      <x:c r="I5" s="10" t="inlineStr">
        <x:is>
          <x:t xml:space="preserve">Lanzamiento completo en mes 11</x:t>
        </x:is>
      </x:c>
    </x:row>
    <x:row r="6">
      <x:c r="A6" s="18" t="inlineStr">
        <x:is>
          <x:t xml:space="preserve">Total desarrollo</x:t>
        </x:is>
      </x:c>
      <x:c r="B6" s="19">
        <x:f>B4+B5</x:f>
        <x:v>5021</x:v>
      </x:c>
      <x:c r="C6" s="10" t="inlineStr">
        <x:is>
          <x:t xml:space="preserve"/>
        </x:is>
      </x:c>
      <x:c r="D6" s="11">
        <x:f>D4+D5</x:f>
        <x:v>94143.75</x:v>
      </x:c>
      <x:c r="E6" s="10" t="inlineStr">
        <x:is>
          <x:t xml:space="preserve"/>
        </x:is>
      </x:c>
      <x:c r="F6" s="10" t="inlineStr">
        <x:is>
          <x:t xml:space="preserve"/>
        </x:is>
      </x:c>
      <x:c r="G6" s="19" t="n">
        <x:v>1</x:v>
      </x:c>
      <x:c r="H6" s="19" t="n">
        <x:v>10</x:v>
      </x:c>
      <x:c r="I6" s="10" t="inlineStr">
        <x:is>
          <x:t xml:space="preserve">Fuente: Excel adjunto</x:t>
        </x:is>
      </x:c>
    </x:row>
    <x:row r="8">
      <x:c r="A8" s="3" t="inlineStr">
        <x:is>
          <x:t xml:space="preserve">Calendario mensual del coste de desarrollo</x:t>
        </x:is>
      </x:c>
    </x:row>
    <x:row r="9">
      <x:c r="A9" s="9" t="inlineStr">
        <x:is>
          <x:t xml:space="preserve">Concepto</x:t>
        </x:is>
      </x:c>
      <x:c r="B9" s="9" t="inlineStr">
        <x:is>
          <x:t xml:space="preserve">Mes 1</x:t>
        </x:is>
      </x:c>
      <x:c r="C9" s="9" t="inlineStr">
        <x:is>
          <x:t xml:space="preserve">Mes 2</x:t>
        </x:is>
      </x:c>
      <x:c r="D9" s="9" t="inlineStr">
        <x:is>
          <x:t xml:space="preserve">Mes 3</x:t>
        </x:is>
      </x:c>
      <x:c r="E9" s="9" t="inlineStr">
        <x:is>
          <x:t xml:space="preserve">Mes 4</x:t>
        </x:is>
      </x:c>
      <x:c r="F9" s="9" t="inlineStr">
        <x:is>
          <x:t xml:space="preserve">Mes 5</x:t>
        </x:is>
      </x:c>
      <x:c r="G9" s="9" t="inlineStr">
        <x:is>
          <x:t xml:space="preserve">Mes 6</x:t>
        </x:is>
      </x:c>
      <x:c r="H9" s="9" t="inlineStr">
        <x:is>
          <x:t xml:space="preserve">Mes 7</x:t>
        </x:is>
      </x:c>
      <x:c r="I9" s="9" t="inlineStr">
        <x:is>
          <x:t xml:space="preserve">Mes 8</x:t>
        </x:is>
      </x:c>
      <x:c r="J9" s="9" t="inlineStr">
        <x:is>
          <x:t xml:space="preserve">Mes 9</x:t>
        </x:is>
      </x:c>
      <x:c r="K9" s="9" t="inlineStr">
        <x:is>
          <x:t xml:space="preserve">Mes 10</x:t>
        </x:is>
      </x:c>
      <x:c r="L9" s="9" t="inlineStr">
        <x:is>
          <x:t xml:space="preserve">Mes 11</x:t>
        </x:is>
      </x:c>
      <x:c r="M9" s="9" t="inlineStr">
        <x:is>
          <x:t xml:space="preserve">Mes 12</x:t>
        </x:is>
      </x:c>
      <x:c r="N9" s="9" t="inlineStr">
        <x:is>
          <x:t xml:space="preserve">Mes 13</x:t>
        </x:is>
      </x:c>
      <x:c r="O9" s="9" t="inlineStr">
        <x:is>
          <x:t xml:space="preserve">Mes 14</x:t>
        </x:is>
      </x:c>
      <x:c r="P9" s="9" t="inlineStr">
        <x:is>
          <x:t xml:space="preserve">Mes 15</x:t>
        </x:is>
      </x:c>
      <x:c r="Q9" s="9" t="inlineStr">
        <x:is>
          <x:t xml:space="preserve">Mes 16</x:t>
        </x:is>
      </x:c>
      <x:c r="R9" s="9" t="inlineStr">
        <x:is>
          <x:t xml:space="preserve">Mes 17</x:t>
        </x:is>
      </x:c>
      <x:c r="S9" s="9" t="inlineStr">
        <x:is>
          <x:t xml:space="preserve">Mes 18</x:t>
        </x:is>
      </x:c>
      <x:c r="T9" s="9" t="inlineStr">
        <x:is>
          <x:t xml:space="preserve">Mes 19</x:t>
        </x:is>
      </x:c>
      <x:c r="U9" s="9" t="inlineStr">
        <x:is>
          <x:t xml:space="preserve">Mes 20</x:t>
        </x:is>
      </x:c>
      <x:c r="V9" s="9" t="inlineStr">
        <x:is>
          <x:t xml:space="preserve">Mes 21</x:t>
        </x:is>
      </x:c>
      <x:c r="W9" s="9" t="inlineStr">
        <x:is>
          <x:t xml:space="preserve">Mes 22</x:t>
        </x:is>
      </x:c>
      <x:c r="X9" s="9" t="inlineStr">
        <x:is>
          <x:t xml:space="preserve">Mes 23</x:t>
        </x:is>
      </x:c>
      <x:c r="Y9" s="9" t="inlineStr">
        <x:is>
          <x:t xml:space="preserve">Mes 24</x:t>
        </x:is>
      </x:c>
      <x:c r="Z9" s="9" t="inlineStr">
        <x:is>
          <x:t xml:space="preserve">Mes 25</x:t>
        </x:is>
      </x:c>
      <x:c r="AA9" s="9" t="inlineStr">
        <x:is>
          <x:t xml:space="preserve">Mes 26</x:t>
        </x:is>
      </x:c>
      <x:c r="AB9" s="9" t="inlineStr">
        <x:is>
          <x:t xml:space="preserve">Mes 27</x:t>
        </x:is>
      </x:c>
      <x:c r="AC9" s="9" t="inlineStr">
        <x:is>
          <x:t xml:space="preserve">Mes 28</x:t>
        </x:is>
      </x:c>
      <x:c r="AD9" s="9" t="inlineStr">
        <x:is>
          <x:t xml:space="preserve">Mes 29</x:t>
        </x:is>
      </x:c>
      <x:c r="AE9" s="9" t="inlineStr">
        <x:is>
          <x:t xml:space="preserve">Mes 30</x:t>
        </x:is>
      </x:c>
      <x:c r="AF9" s="9" t="inlineStr">
        <x:is>
          <x:t xml:space="preserve">Mes 31</x:t>
        </x:is>
      </x:c>
      <x:c r="AG9" s="9" t="inlineStr">
        <x:is>
          <x:t xml:space="preserve">Mes 32</x:t>
        </x:is>
      </x:c>
      <x:c r="AH9" s="9" t="inlineStr">
        <x:is>
          <x:t xml:space="preserve">Mes 33</x:t>
        </x:is>
      </x:c>
      <x:c r="AI9" s="9" t="inlineStr">
        <x:is>
          <x:t xml:space="preserve">Mes 34</x:t>
        </x:is>
      </x:c>
      <x:c r="AJ9" s="9" t="inlineStr">
        <x:is>
          <x:t xml:space="preserve">Mes 35</x:t>
        </x:is>
      </x:c>
      <x:c r="AK9" s="9" t="inlineStr">
        <x:is>
          <x:t xml:space="preserve">Mes 36</x:t>
        </x:is>
      </x:c>
    </x:row>
    <x:row r="10">
      <x:c r="A10" s="20" t="inlineStr">
        <x:is>
          <x:t xml:space="preserve">MVP</x:t>
        </x:is>
      </x:c>
      <x:c r="B10" s="11">
        <x:f>IF(1&lt;=Supuestos!$B$4,$F$4,0)</x:f>
        <x:v>7781.25</x:v>
      </x:c>
      <x:c r="C10" s="11">
        <x:f>IF(2&lt;=Supuestos!$B$4,$F$4,0)</x:f>
        <x:v>7781.25</x:v>
      </x:c>
      <x:c r="D10" s="11">
        <x:f>IF(3&lt;=Supuestos!$B$4,$F$4,0)</x:f>
        <x:v>7781.25</x:v>
      </x:c>
      <x:c r="E10" s="11">
        <x:f>IF(4&lt;=Supuestos!$B$4,$F$4,0)</x:f>
        <x:v>7781.25</x:v>
      </x:c>
      <x:c r="F10" s="11">
        <x:f>IF(5&lt;=Supuestos!$B$4,$F$4,0)</x:f>
        <x:v>0</x:v>
      </x:c>
      <x:c r="G10" s="11">
        <x:f>IF(6&lt;=Supuestos!$B$4,$F$4,0)</x:f>
        <x:v>0</x:v>
      </x:c>
      <x:c r="H10" s="11">
        <x:f>IF(7&lt;=Supuestos!$B$4,$F$4,0)</x:f>
        <x:v>0</x:v>
      </x:c>
      <x:c r="I10" s="11">
        <x:f>IF(8&lt;=Supuestos!$B$4,$F$4,0)</x:f>
        <x:v>0</x:v>
      </x:c>
      <x:c r="J10" s="11">
        <x:f>IF(9&lt;=Supuestos!$B$4,$F$4,0)</x:f>
        <x:v>0</x:v>
      </x:c>
      <x:c r="K10" s="11">
        <x:f>IF(10&lt;=Supuestos!$B$4,$F$4,0)</x:f>
        <x:v>0</x:v>
      </x:c>
      <x:c r="L10" s="11">
        <x:f>IF(11&lt;=Supuestos!$B$4,$F$4,0)</x:f>
        <x:v>0</x:v>
      </x:c>
      <x:c r="M10" s="11">
        <x:f>IF(12&lt;=Supuestos!$B$4,$F$4,0)</x:f>
        <x:v>0</x:v>
      </x:c>
      <x:c r="N10" s="11">
        <x:f>IF(13&lt;=Supuestos!$B$4,$F$4,0)</x:f>
        <x:v>0</x:v>
      </x:c>
      <x:c r="O10" s="11">
        <x:f>IF(14&lt;=Supuestos!$B$4,$F$4,0)</x:f>
        <x:v>0</x:v>
      </x:c>
      <x:c r="P10" s="11">
        <x:f>IF(15&lt;=Supuestos!$B$4,$F$4,0)</x:f>
        <x:v>0</x:v>
      </x:c>
      <x:c r="Q10" s="11">
        <x:f>IF(16&lt;=Supuestos!$B$4,$F$4,0)</x:f>
        <x:v>0</x:v>
      </x:c>
      <x:c r="R10" s="11">
        <x:f>IF(17&lt;=Supuestos!$B$4,$F$4,0)</x:f>
        <x:v>0</x:v>
      </x:c>
      <x:c r="S10" s="11">
        <x:f>IF(18&lt;=Supuestos!$B$4,$F$4,0)</x:f>
        <x:v>0</x:v>
      </x:c>
      <x:c r="T10" s="11">
        <x:f>IF(19&lt;=Supuestos!$B$4,$F$4,0)</x:f>
        <x:v>0</x:v>
      </x:c>
      <x:c r="U10" s="11">
        <x:f>IF(20&lt;=Supuestos!$B$4,$F$4,0)</x:f>
        <x:v>0</x:v>
      </x:c>
      <x:c r="V10" s="11">
        <x:f>IF(21&lt;=Supuestos!$B$4,$F$4,0)</x:f>
        <x:v>0</x:v>
      </x:c>
      <x:c r="W10" s="11">
        <x:f>IF(22&lt;=Supuestos!$B$4,$F$4,0)</x:f>
        <x:v>0</x:v>
      </x:c>
      <x:c r="X10" s="11">
        <x:f>IF(23&lt;=Supuestos!$B$4,$F$4,0)</x:f>
        <x:v>0</x:v>
      </x:c>
      <x:c r="Y10" s="11">
        <x:f>IF(24&lt;=Supuestos!$B$4,$F$4,0)</x:f>
        <x:v>0</x:v>
      </x:c>
      <x:c r="Z10" s="11">
        <x:f>IF(25&lt;=Supuestos!$B$4,$F$4,0)</x:f>
        <x:v>0</x:v>
      </x:c>
      <x:c r="AA10" s="11">
        <x:f>IF(26&lt;=Supuestos!$B$4,$F$4,0)</x:f>
        <x:v>0</x:v>
      </x:c>
      <x:c r="AB10" s="11">
        <x:f>IF(27&lt;=Supuestos!$B$4,$F$4,0)</x:f>
        <x:v>0</x:v>
      </x:c>
      <x:c r="AC10" s="11">
        <x:f>IF(28&lt;=Supuestos!$B$4,$F$4,0)</x:f>
        <x:v>0</x:v>
      </x:c>
      <x:c r="AD10" s="11">
        <x:f>IF(29&lt;=Supuestos!$B$4,$F$4,0)</x:f>
        <x:v>0</x:v>
      </x:c>
      <x:c r="AE10" s="11">
        <x:f>IF(30&lt;=Supuestos!$B$4,$F$4,0)</x:f>
        <x:v>0</x:v>
      </x:c>
      <x:c r="AF10" s="11">
        <x:f>IF(31&lt;=Supuestos!$B$4,$F$4,0)</x:f>
        <x:v>0</x:v>
      </x:c>
      <x:c r="AG10" s="11">
        <x:f>IF(32&lt;=Supuestos!$B$4,$F$4,0)</x:f>
        <x:v>0</x:v>
      </x:c>
      <x:c r="AH10" s="11">
        <x:f>IF(33&lt;=Supuestos!$B$4,$F$4,0)</x:f>
        <x:v>0</x:v>
      </x:c>
      <x:c r="AI10" s="11">
        <x:f>IF(34&lt;=Supuestos!$B$4,$F$4,0)</x:f>
        <x:v>0</x:v>
      </x:c>
      <x:c r="AJ10" s="11">
        <x:f>IF(35&lt;=Supuestos!$B$4,$F$4,0)</x:f>
        <x:v>0</x:v>
      </x:c>
      <x:c r="AK10" s="11">
        <x:f>IF(36&lt;=Supuestos!$B$4,$F$4,0)</x:f>
        <x:v>0</x:v>
      </x:c>
    </x:row>
    <x:row r="11">
      <x:c r="A11" s="20" t="inlineStr">
        <x:is>
          <x:t xml:space="preserve">Proyecto completo adicional</x:t>
        </x:is>
      </x:c>
      <x:c r="B11" s="11">
        <x:f>IF(AND(1&gt;=Supuestos!$B$6,1&lt;Supuestos!$B$6+Supuestos!$B$5),$F$5,0)</x:f>
        <x:v>0</x:v>
      </x:c>
      <x:c r="C11" s="11">
        <x:f>IF(AND(2&gt;=Supuestos!$B$6,2&lt;Supuestos!$B$6+Supuestos!$B$5),$F$5,0)</x:f>
        <x:v>0</x:v>
      </x:c>
      <x:c r="D11" s="11">
        <x:f>IF(AND(3&gt;=Supuestos!$B$6,3&lt;Supuestos!$B$6+Supuestos!$B$5),$F$5,0)</x:f>
        <x:v>0</x:v>
      </x:c>
      <x:c r="E11" s="11">
        <x:f>IF(AND(4&gt;=Supuestos!$B$6,4&lt;Supuestos!$B$6+Supuestos!$B$5),$F$5,0)</x:f>
        <x:v>0</x:v>
      </x:c>
      <x:c r="F11" s="11">
        <x:f>IF(AND(5&gt;=Supuestos!$B$6,5&lt;Supuestos!$B$6+Supuestos!$B$5),$F$5,0)</x:f>
        <x:v>10503.125</x:v>
      </x:c>
      <x:c r="G11" s="11">
        <x:f>IF(AND(6&gt;=Supuestos!$B$6,6&lt;Supuestos!$B$6+Supuestos!$B$5),$F$5,0)</x:f>
        <x:v>10503.125</x:v>
      </x:c>
      <x:c r="H11" s="11">
        <x:f>IF(AND(7&gt;=Supuestos!$B$6,7&lt;Supuestos!$B$6+Supuestos!$B$5),$F$5,0)</x:f>
        <x:v>10503.125</x:v>
      </x:c>
      <x:c r="I11" s="11">
        <x:f>IF(AND(8&gt;=Supuestos!$B$6,8&lt;Supuestos!$B$6+Supuestos!$B$5),$F$5,0)</x:f>
        <x:v>10503.125</x:v>
      </x:c>
      <x:c r="J11" s="11">
        <x:f>IF(AND(9&gt;=Supuestos!$B$6,9&lt;Supuestos!$B$6+Supuestos!$B$5),$F$5,0)</x:f>
        <x:v>10503.125</x:v>
      </x:c>
      <x:c r="K11" s="11">
        <x:f>IF(AND(10&gt;=Supuestos!$B$6,10&lt;Supuestos!$B$6+Supuestos!$B$5),$F$5,0)</x:f>
        <x:v>10503.125</x:v>
      </x:c>
      <x:c r="L11" s="11">
        <x:f>IF(AND(11&gt;=Supuestos!$B$6,11&lt;Supuestos!$B$6+Supuestos!$B$5),$F$5,0)</x:f>
        <x:v>0</x:v>
      </x:c>
      <x:c r="M11" s="11">
        <x:f>IF(AND(12&gt;=Supuestos!$B$6,12&lt;Supuestos!$B$6+Supuestos!$B$5),$F$5,0)</x:f>
        <x:v>0</x:v>
      </x:c>
      <x:c r="N11" s="11">
        <x:f>IF(AND(13&gt;=Supuestos!$B$6,13&lt;Supuestos!$B$6+Supuestos!$B$5),$F$5,0)</x:f>
        <x:v>0</x:v>
      </x:c>
      <x:c r="O11" s="11">
        <x:f>IF(AND(14&gt;=Supuestos!$B$6,14&lt;Supuestos!$B$6+Supuestos!$B$5),$F$5,0)</x:f>
        <x:v>0</x:v>
      </x:c>
      <x:c r="P11" s="11">
        <x:f>IF(AND(15&gt;=Supuestos!$B$6,15&lt;Supuestos!$B$6+Supuestos!$B$5),$F$5,0)</x:f>
        <x:v>0</x:v>
      </x:c>
      <x:c r="Q11" s="11">
        <x:f>IF(AND(16&gt;=Supuestos!$B$6,16&lt;Supuestos!$B$6+Supuestos!$B$5),$F$5,0)</x:f>
        <x:v>0</x:v>
      </x:c>
      <x:c r="R11" s="11">
        <x:f>IF(AND(17&gt;=Supuestos!$B$6,17&lt;Supuestos!$B$6+Supuestos!$B$5),$F$5,0)</x:f>
        <x:v>0</x:v>
      </x:c>
      <x:c r="S11" s="11">
        <x:f>IF(AND(18&gt;=Supuestos!$B$6,18&lt;Supuestos!$B$6+Supuestos!$B$5),$F$5,0)</x:f>
        <x:v>0</x:v>
      </x:c>
      <x:c r="T11" s="11">
        <x:f>IF(AND(19&gt;=Supuestos!$B$6,19&lt;Supuestos!$B$6+Supuestos!$B$5),$F$5,0)</x:f>
        <x:v>0</x:v>
      </x:c>
      <x:c r="U11" s="11">
        <x:f>IF(AND(20&gt;=Supuestos!$B$6,20&lt;Supuestos!$B$6+Supuestos!$B$5),$F$5,0)</x:f>
        <x:v>0</x:v>
      </x:c>
      <x:c r="V11" s="11">
        <x:f>IF(AND(21&gt;=Supuestos!$B$6,21&lt;Supuestos!$B$6+Supuestos!$B$5),$F$5,0)</x:f>
        <x:v>0</x:v>
      </x:c>
      <x:c r="W11" s="11">
        <x:f>IF(AND(22&gt;=Supuestos!$B$6,22&lt;Supuestos!$B$6+Supuestos!$B$5),$F$5,0)</x:f>
        <x:v>0</x:v>
      </x:c>
      <x:c r="X11" s="11">
        <x:f>IF(AND(23&gt;=Supuestos!$B$6,23&lt;Supuestos!$B$6+Supuestos!$B$5),$F$5,0)</x:f>
        <x:v>0</x:v>
      </x:c>
      <x:c r="Y11" s="11">
        <x:f>IF(AND(24&gt;=Supuestos!$B$6,24&lt;Supuestos!$B$6+Supuestos!$B$5),$F$5,0)</x:f>
        <x:v>0</x:v>
      </x:c>
      <x:c r="Z11" s="11">
        <x:f>IF(AND(25&gt;=Supuestos!$B$6,25&lt;Supuestos!$B$6+Supuestos!$B$5),$F$5,0)</x:f>
        <x:v>0</x:v>
      </x:c>
      <x:c r="AA11" s="11">
        <x:f>IF(AND(26&gt;=Supuestos!$B$6,26&lt;Supuestos!$B$6+Supuestos!$B$5),$F$5,0)</x:f>
        <x:v>0</x:v>
      </x:c>
      <x:c r="AB11" s="11">
        <x:f>IF(AND(27&gt;=Supuestos!$B$6,27&lt;Supuestos!$B$6+Supuestos!$B$5),$F$5,0)</x:f>
        <x:v>0</x:v>
      </x:c>
      <x:c r="AC11" s="11">
        <x:f>IF(AND(28&gt;=Supuestos!$B$6,28&lt;Supuestos!$B$6+Supuestos!$B$5),$F$5,0)</x:f>
        <x:v>0</x:v>
      </x:c>
      <x:c r="AD11" s="11">
        <x:f>IF(AND(29&gt;=Supuestos!$B$6,29&lt;Supuestos!$B$6+Supuestos!$B$5),$F$5,0)</x:f>
        <x:v>0</x:v>
      </x:c>
      <x:c r="AE11" s="11">
        <x:f>IF(AND(30&gt;=Supuestos!$B$6,30&lt;Supuestos!$B$6+Supuestos!$B$5),$F$5,0)</x:f>
        <x:v>0</x:v>
      </x:c>
      <x:c r="AF11" s="11">
        <x:f>IF(AND(31&gt;=Supuestos!$B$6,31&lt;Supuestos!$B$6+Supuestos!$B$5),$F$5,0)</x:f>
        <x:v>0</x:v>
      </x:c>
      <x:c r="AG11" s="11">
        <x:f>IF(AND(32&gt;=Supuestos!$B$6,32&lt;Supuestos!$B$6+Supuestos!$B$5),$F$5,0)</x:f>
        <x:v>0</x:v>
      </x:c>
      <x:c r="AH11" s="11">
        <x:f>IF(AND(33&gt;=Supuestos!$B$6,33&lt;Supuestos!$B$6+Supuestos!$B$5),$F$5,0)</x:f>
        <x:v>0</x:v>
      </x:c>
      <x:c r="AI11" s="11">
        <x:f>IF(AND(34&gt;=Supuestos!$B$6,34&lt;Supuestos!$B$6+Supuestos!$B$5),$F$5,0)</x:f>
        <x:v>0</x:v>
      </x:c>
      <x:c r="AJ11" s="11">
        <x:f>IF(AND(35&gt;=Supuestos!$B$6,35&lt;Supuestos!$B$6+Supuestos!$B$5),$F$5,0)</x:f>
        <x:v>0</x:v>
      </x:c>
      <x:c r="AK11" s="11">
        <x:f>IF(AND(36&gt;=Supuestos!$B$6,36&lt;Supuestos!$B$6+Supuestos!$B$5),$F$5,0)</x:f>
        <x:v>0</x:v>
      </x:c>
    </x:row>
    <x:row r="12">
      <x:c r="A12" s="20" t="inlineStr">
        <x:is>
          <x:t xml:space="preserve">Coste desarrollo total</x:t>
        </x:is>
      </x:c>
      <x:c r="B12" s="11">
        <x:f>SUM(B10:B11)</x:f>
        <x:v>7781.25</x:v>
      </x:c>
      <x:c r="C12" s="11">
        <x:f>SUM(C10:C11)</x:f>
        <x:v>7781.25</x:v>
      </x:c>
      <x:c r="D12" s="11">
        <x:f>SUM(D10:D11)</x:f>
        <x:v>7781.25</x:v>
      </x:c>
      <x:c r="E12" s="11">
        <x:f>SUM(E10:E11)</x:f>
        <x:v>7781.25</x:v>
      </x:c>
      <x:c r="F12" s="11">
        <x:f>SUM(F10:F11)</x:f>
        <x:v>10503.125</x:v>
      </x:c>
      <x:c r="G12" s="11">
        <x:f>SUM(G10:G11)</x:f>
        <x:v>10503.125</x:v>
      </x:c>
      <x:c r="H12" s="11">
        <x:f>SUM(H10:H11)</x:f>
        <x:v>10503.125</x:v>
      </x:c>
      <x:c r="I12" s="11">
        <x:f>SUM(I10:I11)</x:f>
        <x:v>10503.125</x:v>
      </x:c>
      <x:c r="J12" s="11">
        <x:f>SUM(J10:J11)</x:f>
        <x:v>10503.125</x:v>
      </x:c>
      <x:c r="K12" s="11">
        <x:f>SUM(K10:K11)</x:f>
        <x:v>10503.125</x:v>
      </x:c>
      <x:c r="L12" s="11">
        <x:f>SUM(L10:L11)</x:f>
        <x:v>0</x:v>
      </x:c>
      <x:c r="M12" s="11">
        <x:f>SUM(M10:M11)</x:f>
        <x:v>0</x:v>
      </x:c>
      <x:c r="N12" s="11">
        <x:f>SUM(N10:N11)</x:f>
        <x:v>0</x:v>
      </x:c>
      <x:c r="O12" s="11">
        <x:f>SUM(O10:O11)</x:f>
        <x:v>0</x:v>
      </x:c>
      <x:c r="P12" s="11">
        <x:f>SUM(P10:P11)</x:f>
        <x:v>0</x:v>
      </x:c>
      <x:c r="Q12" s="11">
        <x:f>SUM(Q10:Q11)</x:f>
        <x:v>0</x:v>
      </x:c>
      <x:c r="R12" s="11">
        <x:f>SUM(R10:R11)</x:f>
        <x:v>0</x:v>
      </x:c>
      <x:c r="S12" s="11">
        <x:f>SUM(S10:S11)</x:f>
        <x:v>0</x:v>
      </x:c>
      <x:c r="T12" s="11">
        <x:f>SUM(T10:T11)</x:f>
        <x:v>0</x:v>
      </x:c>
      <x:c r="U12" s="11">
        <x:f>SUM(U10:U11)</x:f>
        <x:v>0</x:v>
      </x:c>
      <x:c r="V12" s="11">
        <x:f>SUM(V10:V11)</x:f>
        <x:v>0</x:v>
      </x:c>
      <x:c r="W12" s="11">
        <x:f>SUM(W10:W11)</x:f>
        <x:v>0</x:v>
      </x:c>
      <x:c r="X12" s="11">
        <x:f>SUM(X10:X11)</x:f>
        <x:v>0</x:v>
      </x:c>
      <x:c r="Y12" s="11">
        <x:f>SUM(Y10:Y11)</x:f>
        <x:v>0</x:v>
      </x:c>
      <x:c r="Z12" s="11">
        <x:f>SUM(Z10:Z11)</x:f>
        <x:v>0</x:v>
      </x:c>
      <x:c r="AA12" s="11">
        <x:f>SUM(AA10:AA11)</x:f>
        <x:v>0</x:v>
      </x:c>
      <x:c r="AB12" s="11">
        <x:f>SUM(AB10:AB11)</x:f>
        <x:v>0</x:v>
      </x:c>
      <x:c r="AC12" s="11">
        <x:f>SUM(AC10:AC11)</x:f>
        <x:v>0</x:v>
      </x:c>
      <x:c r="AD12" s="11">
        <x:f>SUM(AD10:AD11)</x:f>
        <x:v>0</x:v>
      </x:c>
      <x:c r="AE12" s="11">
        <x:f>SUM(AE10:AE11)</x:f>
        <x:v>0</x:v>
      </x:c>
      <x:c r="AF12" s="11">
        <x:f>SUM(AF10:AF11)</x:f>
        <x:v>0</x:v>
      </x:c>
      <x:c r="AG12" s="11">
        <x:f>SUM(AG10:AG11)</x:f>
        <x:v>0</x:v>
      </x:c>
      <x:c r="AH12" s="11">
        <x:f>SUM(AH10:AH11)</x:f>
        <x:v>0</x:v>
      </x:c>
      <x:c r="AI12" s="11">
        <x:f>SUM(AI10:AI11)</x:f>
        <x:v>0</x:v>
      </x:c>
      <x:c r="AJ12" s="11">
        <x:f>SUM(AJ10:AJ11)</x:f>
        <x:v>0</x:v>
      </x:c>
      <x:c r="AK12" s="11">
        <x:f>SUM(AK10:AK11)</x:f>
        <x:v>0</x:v>
      </x:c>
    </x:row>
  </x:sheetData>
  <x:mergeCells>
    <x:mergeCell ref="A1:AM1"/>
    <x:mergeCell ref="A8:AM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42" customWidth="1"/>
  </x:cols>
  <x:sheetData>
    <x:row r="1">
      <x:c r="A1" s="1" t="inlineStr">
        <x:is>
          <x:t xml:space="preserve">Agroapp | Costes de operación e infraestructura por fase</x:t>
        </x:is>
      </x:c>
    </x:row>
    <x:row r="3">
      <x:c r="A3" s="9" t="inlineStr">
        <x:is>
          <x:t xml:space="preserve">Concepto</x:t>
        </x:is>
      </x:c>
      <x:c r="B3" s="9" t="inlineStr">
        <x:is>
          <x:t xml:space="preserve">Fase 1
M1-M4</x:t>
        </x:is>
      </x:c>
      <x:c r="C3" s="9" t="inlineStr">
        <x:is>
          <x:t xml:space="preserve">Fase 2
M5-M10</x:t>
        </x:is>
      </x:c>
      <x:c r="D3" s="9" t="inlineStr">
        <x:is>
          <x:t xml:space="preserve">Fase 3
M11-M18</x:t>
        </x:is>
      </x:c>
      <x:c r="E3" s="9" t="inlineStr">
        <x:is>
          <x:t xml:space="preserve">Fase 4
M19-M24</x:t>
        </x:is>
      </x:c>
      <x:c r="F3" s="9" t="inlineStr">
        <x:is>
          <x:t xml:space="preserve">Fase 5
M25-M36</x:t>
        </x:is>
      </x:c>
      <x:c r="G3" s="9" t="inlineStr">
        <x:is>
          <x:t xml:space="preserve">Nota</x:t>
        </x:is>
      </x:c>
    </x:row>
    <x:row r="4">
      <x:c r="A4" s="10" t="inlineStr">
        <x:is>
          <x:t xml:space="preserve">CEO / negocio</x:t>
        </x:is>
      </x:c>
      <x:c r="B4" s="21" t="n">
        <x:v>2000</x:v>
      </x:c>
      <x:c r="C4" s="21" t="n">
        <x:v>2500</x:v>
      </x:c>
      <x:c r="D4" s="21" t="n">
        <x:v>2500</x:v>
      </x:c>
      <x:c r="E4" s="21" t="n">
        <x:v>3000</x:v>
      </x:c>
      <x:c r="F4" s="21" t="n">
        <x:v>3000</x:v>
      </x:c>
      <x:c r="G4" s="10" t="inlineStr">
        <x:is>
          <x:t xml:space="preserve">Coste empresa estimado</x:t>
        </x:is>
      </x:c>
    </x:row>
    <x:row r="5">
      <x:c r="A5" s="10" t="inlineStr">
        <x:is>
          <x:t xml:space="preserve">COO / producto y operaciones</x:t>
        </x:is>
      </x:c>
      <x:c r="B5" s="21" t="n">
        <x:v>2000</x:v>
      </x:c>
      <x:c r="C5" s="21" t="n">
        <x:v>2500</x:v>
      </x:c>
      <x:c r="D5" s="21" t="n">
        <x:v>2500</x:v>
      </x:c>
      <x:c r="E5" s="21" t="n">
        <x:v>3000</x:v>
      </x:c>
      <x:c r="F5" s="21" t="n">
        <x:v>3000</x:v>
      </x:c>
      <x:c r="G5" s="10" t="inlineStr">
        <x:is>
          <x:t xml:space="preserve">Coste empresa estimado</x:t>
        </x:is>
      </x:c>
    </x:row>
    <x:row r="6">
      <x:c r="A6" s="10" t="inlineStr">
        <x:is>
          <x:t xml:space="preserve">Customer Success / implantación</x:t>
        </x:is>
      </x:c>
      <x:c r="B6" s="21" t="n">
        <x:v>0</x:v>
      </x:c>
      <x:c r="C6" s="21" t="n">
        <x:v>1800</x:v>
      </x:c>
      <x:c r="D6" s="21" t="n">
        <x:v>1800</x:v>
      </x:c>
      <x:c r="E6" s="21" t="n">
        <x:v>3600</x:v>
      </x:c>
      <x:c r="F6" s="21" t="n">
        <x:v>3600</x:v>
      </x:c>
      <x:c r="G6" s="10" t="inlineStr">
        <x:is>
          <x:t xml:space="preserve">Se refuerza al escalar</x:t>
        </x:is>
      </x:c>
    </x:row>
    <x:row r="7">
      <x:c r="A7" s="10" t="inlineStr">
        <x:is>
          <x:t xml:space="preserve">Ventas / alianzas</x:t>
        </x:is>
      </x:c>
      <x:c r="B7" s="21" t="n">
        <x:v>0</x:v>
      </x:c>
      <x:c r="C7" s="21" t="n">
        <x:v>0</x:v>
      </x:c>
      <x:c r="D7" s="21" t="n">
        <x:v>2500</x:v>
      </x:c>
      <x:c r="E7" s="21" t="n">
        <x:v>5000</x:v>
      </x:c>
      <x:c r="F7" s="21" t="n">
        <x:v>5000</x:v>
      </x:c>
      <x:c r="G7" s="10" t="inlineStr">
        <x:is>
          <x:t xml:space="preserve">1 FTE desde fase 3; 2 FTE implícitos desde fase 4</x:t>
        </x:is>
      </x:c>
    </x:row>
    <x:row r="8">
      <x:c r="A8" s="10" t="inlineStr">
        <x:is>
          <x:t xml:space="preserve">Marketing / performance / ferias</x:t>
        </x:is>
      </x:c>
      <x:c r="B8" s="21" t="n">
        <x:v>0</x:v>
      </x:c>
      <x:c r="C8" s="21" t="n">
        <x:v>600</x:v>
      </x:c>
      <x:c r="D8" s="21" t="n">
        <x:v>1200</x:v>
      </x:c>
      <x:c r="E8" s="21" t="n">
        <x:v>2000</x:v>
      </x:c>
      <x:c r="F8" s="21" t="n">
        <x:v>3000</x:v>
      </x:c>
      <x:c r="G8" s="10" t="inlineStr">
        <x:is>
          <x:t xml:space="preserve">Presupuesto operativo</x:t>
        </x:is>
      </x:c>
    </x:row>
    <x:row r="9">
      <x:c r="A9" s="10" t="inlineStr">
        <x:is>
          <x:t xml:space="preserve">Mantenimiento producto / soporte técnico</x:t>
        </x:is>
      </x:c>
      <x:c r="B9" s="21" t="n">
        <x:v>0</x:v>
      </x:c>
      <x:c r="C9" s="21" t="n">
        <x:v>0</x:v>
      </x:c>
      <x:c r="D9" s="21" t="n">
        <x:v>3200</x:v>
      </x:c>
      <x:c r="E9" s="21" t="n">
        <x:v>3200</x:v>
      </x:c>
      <x:c r="F9" s="21" t="n">
        <x:v>6500</x:v>
      </x:c>
      <x:c r="G9" s="10" t="inlineStr">
        <x:is>
          <x:t xml:space="preserve">1 FTE desde fase 3; 2 FTE desde fase 5</x:t>
        </x:is>
      </x:c>
    </x:row>
    <x:row r="10">
      <x:c r="A10" s="10" t="inlineStr">
        <x:is>
          <x:t xml:space="preserve">Admin / legal / gestoría</x:t>
        </x:is>
      </x:c>
      <x:c r="B10" s="21" t="n">
        <x:v>300</x:v>
      </x:c>
      <x:c r="C10" s="21" t="n">
        <x:v>350</x:v>
      </x:c>
      <x:c r="D10" s="21" t="n">
        <x:v>450</x:v>
      </x:c>
      <x:c r="E10" s="21" t="n">
        <x:v>550</x:v>
      </x:c>
      <x:c r="F10" s="21" t="n">
        <x:v>700</x:v>
      </x:c>
      <x:c r="G10" s="10" t="inlineStr">
        <x:is>
          <x:t xml:space="preserve">Servicios externos</x:t>
        </x:is>
      </x:c>
    </x:row>
    <x:row r="11">
      <x:c r="A11" s="10" t="inlineStr">
        <x:is>
          <x:t xml:space="preserve">Cloud base</x:t>
        </x:is>
      </x:c>
      <x:c r="B11" s="21" t="n">
        <x:v>250</x:v>
      </x:c>
      <x:c r="C11" s="21" t="n">
        <x:v>400</x:v>
      </x:c>
      <x:c r="D11" s="21" t="n">
        <x:v>650</x:v>
      </x:c>
      <x:c r="E11" s="21" t="n">
        <x:v>900</x:v>
      </x:c>
      <x:c r="F11" s="21" t="n">
        <x:v>1200</x:v>
      </x:c>
      <x:c r="G11" s="10" t="inlineStr">
        <x:is>
          <x:t xml:space="preserve">Hosting, backups, monitorización</x:t>
        </x:is>
      </x:c>
    </x:row>
    <x:row r="12">
      <x:c r="A12" s="10" t="inlineStr">
        <x:is>
          <x:t xml:space="preserve">Herramientas SaaS</x:t>
        </x:is>
      </x:c>
      <x:c r="B12" s="21" t="n">
        <x:v>150</x:v>
      </x:c>
      <x:c r="C12" s="21" t="n">
        <x:v>250</x:v>
      </x:c>
      <x:c r="D12" s="21" t="n">
        <x:v>350</x:v>
      </x:c>
      <x:c r="E12" s="21" t="n">
        <x:v>350</x:v>
      </x:c>
      <x:c r="F12" s="21" t="n">
        <x:v>500</x:v>
      </x:c>
      <x:c r="G12" s="10" t="inlineStr">
        <x:is>
          <x:t xml:space="preserve">CRM, tickets, analítica, correo</x:t>
        </x:is>
      </x:c>
    </x:row>
    <x:row r="13">
      <x:c r="A13" s="10" t="inlineStr">
        <x:is>
          <x:t xml:space="preserve">Viajes / demos / reuniones</x:t>
        </x:is>
      </x:c>
      <x:c r="B13" s="21" t="n">
        <x:v>0</x:v>
      </x:c>
      <x:c r="C13" s="21" t="n">
        <x:v>250</x:v>
      </x:c>
      <x:c r="D13" s="21" t="n">
        <x:v>400</x:v>
      </x:c>
      <x:c r="E13" s="21" t="n">
        <x:v>600</x:v>
      </x:c>
      <x:c r="F13" s="21" t="n">
        <x:v>800</x:v>
      </x:c>
      <x:c r="G13" s="10" t="inlineStr">
        <x:is>
          <x:t xml:space="preserve">Visitas, pilotos, cooperativas</x:t>
        </x:is>
      </x:c>
    </x:row>
    <x:row r="15">
      <x:c r="A15" s="18" t="inlineStr">
        <x:is>
          <x:t xml:space="preserve">Subtotal equipo operación</x:t>
        </x:is>
      </x:c>
      <x:c r="B15" s="22">
        <x:f>SUM(B4:B6,B9)</x:f>
        <x:v>4000</x:v>
      </x:c>
      <x:c r="C15" s="22">
        <x:f>SUM(C4:C6,C9)</x:f>
        <x:v>6800</x:v>
      </x:c>
      <x:c r="D15" s="22">
        <x:f>SUM(D4:D6,D9)</x:f>
        <x:v>10000</x:v>
      </x:c>
      <x:c r="E15" s="22">
        <x:f>SUM(E4:E6,E9)</x:f>
        <x:v>12800</x:v>
      </x:c>
      <x:c r="F15" s="22">
        <x:f>SUM(F4:F6,F9)</x:f>
        <x:v>16100</x:v>
      </x:c>
      <x:c r="G15" s="10" t="n"/>
    </x:row>
    <x:row r="16">
      <x:c r="A16" s="18" t="inlineStr">
        <x:is>
          <x:t xml:space="preserve">Subtotal marketing y ventas</x:t>
        </x:is>
      </x:c>
      <x:c r="B16" s="22">
        <x:f>SUM(B7:B8,B13)</x:f>
        <x:v>0</x:v>
      </x:c>
      <x:c r="C16" s="22">
        <x:f>SUM(C7:C8,C13)</x:f>
        <x:v>850</x:v>
      </x:c>
      <x:c r="D16" s="22">
        <x:f>SUM(D7:D8,D13)</x:f>
        <x:v>4100</x:v>
      </x:c>
      <x:c r="E16" s="22">
        <x:f>SUM(E7:E8,E13)</x:f>
        <x:v>7600</x:v>
      </x:c>
      <x:c r="F16" s="22">
        <x:f>SUM(F7:F8,F13)</x:f>
        <x:v>8800</x:v>
      </x:c>
      <x:c r="G16" s="10" t="n"/>
    </x:row>
    <x:row r="17">
      <x:c r="A17" s="18" t="inlineStr">
        <x:is>
          <x:t xml:space="preserve">Subtotal infraestructura fija</x:t>
        </x:is>
      </x:c>
      <x:c r="B17" s="22">
        <x:f>SUM(B10:B12)</x:f>
        <x:v>700</x:v>
      </x:c>
      <x:c r="C17" s="22">
        <x:f>SUM(C10:C12)</x:f>
        <x:v>1000</x:v>
      </x:c>
      <x:c r="D17" s="22">
        <x:f>SUM(D10:D12)</x:f>
        <x:v>1450</x:v>
      </x:c>
      <x:c r="E17" s="22">
        <x:f>SUM(E10:E12)</x:f>
        <x:v>1800</x:v>
      </x:c>
      <x:c r="F17" s="22">
        <x:f>SUM(F10:F12)</x:f>
        <x:v>2400</x:v>
      </x:c>
      <x:c r="G17" s="10" t="n"/>
    </x:row>
    <x:row r="18">
      <x:c r="A18" s="18" t="inlineStr">
        <x:is>
          <x:t xml:space="preserve">Coste variable infraestructura por cliente</x:t>
        </x:is>
      </x:c>
      <x:c r="B18" s="21" t="n">
        <x:v>0</x:v>
      </x:c>
      <x:c r="C18" s="21" t="n">
        <x:v>1.2</x:v>
      </x:c>
      <x:c r="D18" s="21" t="n">
        <x:v>1.5</x:v>
      </x:c>
      <x:c r="E18" s="21" t="n">
        <x:v>1.8</x:v>
      </x:c>
      <x:c r="F18" s="21" t="n">
        <x:v>2</x:v>
      </x:c>
      <x:c r="G18" s="10" t="inlineStr">
        <x:is>
          <x:t xml:space="preserve">Cloud variable, notificaciones, PDFs, almacenamiento y uso incremental</x:t>
        </x:is>
      </x:c>
    </x:row>
    <x:row r="21">
      <x:c r="A21" s="3" t="inlineStr">
        <x:is>
          <x:t xml:space="preserve">Racional de escalado</x:t>
        </x:is>
      </x:c>
    </x:row>
    <x:row r="22">
      <x:c r="A22" s="13" t="inlineStr">
        <x:is>
          <x:t xml:space="preserve">• Equipo fundador contenido al inicio; se añaden soporte, ventas y mantenimiento con la base instalada.</x:t>
        </x:is>
      </x:c>
    </x:row>
    <x:row r="23">
      <x:c r="A23" s="13" t="inlineStr">
        <x:is>
          <x:t xml:space="preserve">• La infraestructura fija sube por mayor exigencia de backups, observabilidad, almacenamiento y entornos productivos.</x:t>
        </x:is>
      </x:c>
    </x:row>
    <x:row r="24">
      <x:c r="A24" s="13" t="inlineStr">
        <x:is>
          <x:t xml:space="preserve">• El coste variable por cliente absorbe uso incremental de cloud, notificaciones y generación de documentos.</x:t>
        </x:is>
      </x:c>
    </x:row>
  </x:sheetData>
  <x:mergeCells>
    <x:mergeCell ref="A1:G1"/>
    <x:mergeCell ref="A21:G21"/>
    <x:mergeCell ref="A22:G22"/>
    <x:mergeCell ref="A24:G24"/>
    <x:mergeCell ref="A23:G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8" customWidth="1"/>
    <x:col min="4" max="4" width="14" customWidth="1"/>
    <x:col min="5" max="5" width="14" customWidth="1"/>
    <x:col min="6" max="6" width="10" customWidth="1"/>
    <x:col min="7" max="7" width="10" customWidth="1"/>
    <x:col min="8" max="8" width="14" customWidth="1"/>
    <x:col min="9" max="9" width="20" customWidth="1"/>
    <x:col min="10" max="10" width="12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6" customWidth="1"/>
  </x:cols>
  <x:sheetData>
    <x:row r="1">
      <x:c r="A1" s="1" t="inlineStr">
        <x:is>
          <x:t xml:space="preserve">Agroapp | Proyección mensual de clientes, ingresos y costes (36 meses)</x:t>
        </x:is>
      </x:c>
    </x:row>
    <x:row r="3">
      <x:c r="A3" s="3" t="inlineStr">
        <x:is>
          <x:t xml:space="preserve">Entradas y salidas del modelo</x:t>
        </x:is>
      </x:c>
    </x:row>
    <x:row r="5">
      <x:c r="A5" s="9" t="inlineStr">
        <x:is>
          <x:t xml:space="preserve">Mes #</x:t>
        </x:is>
      </x:c>
      <x:c r="B5" s="9" t="inlineStr">
        <x:is>
          <x:t xml:space="preserve">Año</x:t>
        </x:is>
      </x:c>
      <x:c r="C5" s="9" t="inlineStr">
        <x:is>
          <x:t xml:space="preserve">Fase</x:t>
        </x:is>
      </x:c>
      <x:c r="D5" s="9" t="inlineStr">
        <x:is>
          <x:t xml:space="preserve">Nuevos clientes</x:t>
        </x:is>
      </x:c>
      <x:c r="E5" s="9" t="inlineStr">
        <x:is>
          <x:t xml:space="preserve">Clientes iniciales</x:t>
        </x:is>
      </x:c>
      <x:c r="F5" s="9" t="inlineStr">
        <x:is>
          <x:t xml:space="preserve">Churn %</x:t>
        </x:is>
      </x:c>
      <x:c r="G5" s="9" t="inlineStr">
        <x:is>
          <x:t xml:space="preserve">Bajas</x:t>
        </x:is>
      </x:c>
      <x:c r="H5" s="9" t="inlineStr">
        <x:is>
          <x:t xml:space="preserve">Clientes finales</x:t>
        </x:is>
      </x:c>
      <x:c r="I5" s="9" t="inlineStr">
        <x:is>
          <x:t xml:space="preserve">Clientes promedio facturados</x:t>
        </x:is>
      </x:c>
      <x:c r="J5" s="9" t="inlineStr">
        <x:is>
          <x:t xml:space="preserve">Precio</x:t>
        </x:is>
      </x:c>
      <x:c r="K5" s="9" t="inlineStr">
        <x:is>
          <x:t xml:space="preserve">Ingresos SaaS</x:t>
        </x:is>
      </x:c>
      <x:c r="L5" s="9" t="inlineStr">
        <x:is>
          <x:t xml:space="preserve">Coste desarrollo</x:t>
        </x:is>
      </x:c>
      <x:c r="M5" s="9" t="inlineStr">
        <x:is>
          <x:t xml:space="preserve">Equipo operación</x:t>
        </x:is>
      </x:c>
      <x:c r="N5" s="9" t="inlineStr">
        <x:is>
          <x:t xml:space="preserve">Marketing y ventas</x:t>
        </x:is>
      </x:c>
      <x:c r="O5" s="9" t="inlineStr">
        <x:is>
          <x:t xml:space="preserve">Infraestructura fija</x:t>
        </x:is>
      </x:c>
      <x:c r="P5" s="9" t="inlineStr">
        <x:is>
          <x:t xml:space="preserve">Infra variable</x:t>
        </x:is>
      </x:c>
      <x:c r="Q5" s="9" t="inlineStr">
        <x:is>
          <x:t xml:space="preserve">Coste total</x:t>
        </x:is>
      </x:c>
      <x:c r="R5" s="9" t="inlineStr">
        <x:is>
          <x:t xml:space="preserve">Resultado mensual</x:t>
        </x:is>
      </x:c>
      <x:c r="S5" s="9" t="inlineStr">
        <x:is>
          <x:t xml:space="preserve">Resultado acumulado</x:t>
        </x:is>
      </x:c>
      <x:c r="T5" s="9" t="inlineStr">
        <x:is>
          <x:t xml:space="preserve">Mes con resultado &gt; 0</x:t>
        </x:is>
      </x:c>
    </x:row>
    <x:row r="6">
      <x:c r="A6" s="10" t="n">
        <x:v>1</x:v>
      </x:c>
      <x:c r="B6" s="10">
        <x:f>ROUNDUP(A6/12,0)</x:f>
        <x:v>1</x:v>
      </x:c>
      <x:c r="C6" s="10">
        <x:f>IF(A6&lt;=4,1,IF(A6&lt;=10,2,IF(A6&lt;=18,3,IF(A6&lt;=24,4,5))))</x:f>
        <x:v>1</x:v>
      </x:c>
      <x:c r="D6" s="23" t="n">
        <x:v>0</x:v>
      </x:c>
      <x:c r="E6" s="10" t="n">
        <x:v>0</x:v>
      </x:c>
      <x:c r="F6" s="31">
        <x:f>IF(A6&lt;Supuestos!$B$6,0,Supuestos!$B$10)</x:f>
        <x:v>0</x:v>
      </x:c>
      <x:c r="G6" s="29">
        <x:f>E6*F6</x:f>
        <x:v>0</x:v>
      </x:c>
      <x:c r="H6" s="29">
        <x:f>E6+D6-G6</x:f>
        <x:v>0</x:v>
      </x:c>
      <x:c r="I6" s="29">
        <x:f>IF(A6&lt;Supuestos!$B$6,0,E6+0.5*(D6-G6))</x:f>
        <x:v>0</x:v>
      </x:c>
      <x:c r="J6" s="11">
        <x:f>IF(A6&lt;Supuestos!$B$6,0,IF(A6&lt;Supuestos!$B$7,Supuestos!$B$8,Supuestos!$B$9))</x:f>
        <x:v>0</x:v>
      </x:c>
      <x:c r="K6" s="11">
        <x:f>I6*J6</x:f>
        <x:v>0</x:v>
      </x:c>
      <x:c r="L6" s="11">
        <x:f>'Desarrollo'!B12</x:f>
        <x:v>7781.25</x:v>
      </x:c>
      <x:c r="M6" s="11">
        <x:f>INDEX('Operación e Infra'!$B$15:$F$15,1,C6)</x:f>
        <x:v>4000</x:v>
      </x:c>
      <x:c r="N6" s="11">
        <x:f>INDEX('Operación e Infra'!$B$16:$F$16,1,C6)</x:f>
        <x:v>0</x:v>
      </x:c>
      <x:c r="O6" s="11">
        <x:f>INDEX('Operación e Infra'!$B$17:$F$17,1,C6)</x:f>
        <x:v>700</x:v>
      </x:c>
      <x:c r="P6" s="11">
        <x:f>H6*INDEX('Operación e Infra'!$B$18:$F$18,1,C6)</x:f>
        <x:v>0</x:v>
      </x:c>
      <x:c r="Q6" s="11">
        <x:f>SUM(L6:P6)</x:f>
        <x:v>12481.25</x:v>
      </x:c>
      <x:c r="R6" s="11">
        <x:f>K6-Q6</x:f>
        <x:v>-12481.25</x:v>
      </x:c>
      <x:c r="S6" s="11">
        <x:f>R6</x:f>
        <x:v>-12481.25</x:v>
      </x:c>
      <x:c r="T6" s="10" t="b">
        <x:f>R6&gt;0</x:f>
        <x:v>0</x:v>
      </x:c>
    </x:row>
    <x:row r="7">
      <x:c r="A7" s="10" t="n">
        <x:v>2</x:v>
      </x:c>
      <x:c r="B7" s="10">
        <x:f>ROUNDUP(A7/12,0)</x:f>
        <x:v>1</x:v>
      </x:c>
      <x:c r="C7" s="10">
        <x:f>IF(A7&lt;=4,1,IF(A7&lt;=10,2,IF(A7&lt;=18,3,IF(A7&lt;=24,4,5))))</x:f>
        <x:v>1</x:v>
      </x:c>
      <x:c r="D7" s="23" t="n">
        <x:v>0</x:v>
      </x:c>
      <x:c r="E7" s="10">
        <x:f>H6</x:f>
        <x:v>0</x:v>
      </x:c>
      <x:c r="F7" s="31">
        <x:f>IF(A7&lt;Supuestos!$B$6,0,Supuestos!$B$10)</x:f>
        <x:v>0</x:v>
      </x:c>
      <x:c r="G7" s="29">
        <x:f>E7*F7</x:f>
        <x:v>0</x:v>
      </x:c>
      <x:c r="H7" s="29">
        <x:f>E7+D7-G7</x:f>
        <x:v>0</x:v>
      </x:c>
      <x:c r="I7" s="29">
        <x:f>IF(A7&lt;Supuestos!$B$6,0,E7+0.5*(D7-G7))</x:f>
        <x:v>0</x:v>
      </x:c>
      <x:c r="J7" s="11">
        <x:f>IF(A7&lt;Supuestos!$B$6,0,IF(A7&lt;Supuestos!$B$7,Supuestos!$B$8,Supuestos!$B$9))</x:f>
        <x:v>0</x:v>
      </x:c>
      <x:c r="K7" s="11">
        <x:f>I7*J7</x:f>
        <x:v>0</x:v>
      </x:c>
      <x:c r="L7" s="11">
        <x:f>'Desarrollo'!C12</x:f>
        <x:v>7781.25</x:v>
      </x:c>
      <x:c r="M7" s="11">
        <x:f>INDEX('Operación e Infra'!$B$15:$F$15,1,C7)</x:f>
        <x:v>4000</x:v>
      </x:c>
      <x:c r="N7" s="11">
        <x:f>INDEX('Operación e Infra'!$B$16:$F$16,1,C7)</x:f>
        <x:v>0</x:v>
      </x:c>
      <x:c r="O7" s="11">
        <x:f>INDEX('Operación e Infra'!$B$17:$F$17,1,C7)</x:f>
        <x:v>700</x:v>
      </x:c>
      <x:c r="P7" s="11">
        <x:f>H7*INDEX('Operación e Infra'!$B$18:$F$18,1,C7)</x:f>
        <x:v>0</x:v>
      </x:c>
      <x:c r="Q7" s="11">
        <x:f>SUM(L7:P7)</x:f>
        <x:v>12481.25</x:v>
      </x:c>
      <x:c r="R7" s="11">
        <x:f>K7-Q7</x:f>
        <x:v>-12481.25</x:v>
      </x:c>
      <x:c r="S7" s="11">
        <x:f>S6+R7</x:f>
        <x:v>-24962.5</x:v>
      </x:c>
      <x:c r="T7" s="10" t="b">
        <x:f>R7&gt;0</x:f>
        <x:v>0</x:v>
      </x:c>
    </x:row>
    <x:row r="8">
      <x:c r="A8" s="10" t="n">
        <x:v>3</x:v>
      </x:c>
      <x:c r="B8" s="10">
        <x:f>ROUNDUP(A8/12,0)</x:f>
        <x:v>1</x:v>
      </x:c>
      <x:c r="C8" s="10">
        <x:f>IF(A8&lt;=4,1,IF(A8&lt;=10,2,IF(A8&lt;=18,3,IF(A8&lt;=24,4,5))))</x:f>
        <x:v>1</x:v>
      </x:c>
      <x:c r="D8" s="23" t="n">
        <x:v>0</x:v>
      </x:c>
      <x:c r="E8" s="10">
        <x:f>H7</x:f>
        <x:v>0</x:v>
      </x:c>
      <x:c r="F8" s="31">
        <x:f>IF(A8&lt;Supuestos!$B$6,0,Supuestos!$B$10)</x:f>
        <x:v>0</x:v>
      </x:c>
      <x:c r="G8" s="29">
        <x:f>E8*F8</x:f>
        <x:v>0</x:v>
      </x:c>
      <x:c r="H8" s="29">
        <x:f>E8+D8-G8</x:f>
        <x:v>0</x:v>
      </x:c>
      <x:c r="I8" s="29">
        <x:f>IF(A8&lt;Supuestos!$B$6,0,E8+0.5*(D8-G8))</x:f>
        <x:v>0</x:v>
      </x:c>
      <x:c r="J8" s="11">
        <x:f>IF(A8&lt;Supuestos!$B$6,0,IF(A8&lt;Supuestos!$B$7,Supuestos!$B$8,Supuestos!$B$9))</x:f>
        <x:v>0</x:v>
      </x:c>
      <x:c r="K8" s="11">
        <x:f>I8*J8</x:f>
        <x:v>0</x:v>
      </x:c>
      <x:c r="L8" s="11">
        <x:f>'Desarrollo'!D12</x:f>
        <x:v>7781.25</x:v>
      </x:c>
      <x:c r="M8" s="11">
        <x:f>INDEX('Operación e Infra'!$B$15:$F$15,1,C8)</x:f>
        <x:v>4000</x:v>
      </x:c>
      <x:c r="N8" s="11">
        <x:f>INDEX('Operación e Infra'!$B$16:$F$16,1,C8)</x:f>
        <x:v>0</x:v>
      </x:c>
      <x:c r="O8" s="11">
        <x:f>INDEX('Operación e Infra'!$B$17:$F$17,1,C8)</x:f>
        <x:v>700</x:v>
      </x:c>
      <x:c r="P8" s="11">
        <x:f>H8*INDEX('Operación e Infra'!$B$18:$F$18,1,C8)</x:f>
        <x:v>0</x:v>
      </x:c>
      <x:c r="Q8" s="11">
        <x:f>SUM(L8:P8)</x:f>
        <x:v>12481.25</x:v>
      </x:c>
      <x:c r="R8" s="11">
        <x:f>K8-Q8</x:f>
        <x:v>-12481.25</x:v>
      </x:c>
      <x:c r="S8" s="11">
        <x:f>S7+R8</x:f>
        <x:v>-37443.75</x:v>
      </x:c>
      <x:c r="T8" s="10" t="b">
        <x:f>R8&gt;0</x:f>
        <x:v>0</x:v>
      </x:c>
    </x:row>
    <x:row r="9">
      <x:c r="A9" s="10" t="n">
        <x:v>4</x:v>
      </x:c>
      <x:c r="B9" s="10">
        <x:f>ROUNDUP(A9/12,0)</x:f>
        <x:v>1</x:v>
      </x:c>
      <x:c r="C9" s="10">
        <x:f>IF(A9&lt;=4,1,IF(A9&lt;=10,2,IF(A9&lt;=18,3,IF(A9&lt;=24,4,5))))</x:f>
        <x:v>1</x:v>
      </x:c>
      <x:c r="D9" s="23" t="n">
        <x:v>0</x:v>
      </x:c>
      <x:c r="E9" s="10">
        <x:f>H8</x:f>
        <x:v>0</x:v>
      </x:c>
      <x:c r="F9" s="31">
        <x:f>IF(A9&lt;Supuestos!$B$6,0,Supuestos!$B$10)</x:f>
        <x:v>0</x:v>
      </x:c>
      <x:c r="G9" s="29">
        <x:f>E9*F9</x:f>
        <x:v>0</x:v>
      </x:c>
      <x:c r="H9" s="29">
        <x:f>E9+D9-G9</x:f>
        <x:v>0</x:v>
      </x:c>
      <x:c r="I9" s="29">
        <x:f>IF(A9&lt;Supuestos!$B$6,0,E9+0.5*(D9-G9))</x:f>
        <x:v>0</x:v>
      </x:c>
      <x:c r="J9" s="11">
        <x:f>IF(A9&lt;Supuestos!$B$6,0,IF(A9&lt;Supuestos!$B$7,Supuestos!$B$8,Supuestos!$B$9))</x:f>
        <x:v>0</x:v>
      </x:c>
      <x:c r="K9" s="11">
        <x:f>I9*J9</x:f>
        <x:v>0</x:v>
      </x:c>
      <x:c r="L9" s="11">
        <x:f>'Desarrollo'!E12</x:f>
        <x:v>7781.25</x:v>
      </x:c>
      <x:c r="M9" s="11">
        <x:f>INDEX('Operación e Infra'!$B$15:$F$15,1,C9)</x:f>
        <x:v>4000</x:v>
      </x:c>
      <x:c r="N9" s="11">
        <x:f>INDEX('Operación e Infra'!$B$16:$F$16,1,C9)</x:f>
        <x:v>0</x:v>
      </x:c>
      <x:c r="O9" s="11">
        <x:f>INDEX('Operación e Infra'!$B$17:$F$17,1,C9)</x:f>
        <x:v>700</x:v>
      </x:c>
      <x:c r="P9" s="11">
        <x:f>H9*INDEX('Operación e Infra'!$B$18:$F$18,1,C9)</x:f>
        <x:v>0</x:v>
      </x:c>
      <x:c r="Q9" s="11">
        <x:f>SUM(L9:P9)</x:f>
        <x:v>12481.25</x:v>
      </x:c>
      <x:c r="R9" s="11">
        <x:f>K9-Q9</x:f>
        <x:v>-12481.25</x:v>
      </x:c>
      <x:c r="S9" s="11">
        <x:f>S8+R9</x:f>
        <x:v>-49925</x:v>
      </x:c>
      <x:c r="T9" s="10" t="b">
        <x:f>R9&gt;0</x:f>
        <x:v>0</x:v>
      </x:c>
    </x:row>
    <x:row r="10">
      <x:c r="A10" s="10" t="n">
        <x:v>5</x:v>
      </x:c>
      <x:c r="B10" s="10">
        <x:f>ROUNDUP(A10/12,0)</x:f>
        <x:v>1</x:v>
      </x:c>
      <x:c r="C10" s="10">
        <x:f>IF(A10&lt;=4,1,IF(A10&lt;=10,2,IF(A10&lt;=18,3,IF(A10&lt;=24,4,5))))</x:f>
        <x:v>2</x:v>
      </x:c>
      <x:c r="D10" s="23" t="n">
        <x:v>2</x:v>
      </x:c>
      <x:c r="E10" s="10">
        <x:f>H9</x:f>
        <x:v>0</x:v>
      </x:c>
      <x:c r="F10" s="31">
        <x:f>IF(A10&lt;Supuestos!$B$6,0,Supuestos!$B$10)</x:f>
        <x:v>0.015</x:v>
      </x:c>
      <x:c r="G10" s="29">
        <x:f>E10*F10</x:f>
        <x:v>0</x:v>
      </x:c>
      <x:c r="H10" s="29">
        <x:f>E10+D10-G10</x:f>
        <x:v>2</x:v>
      </x:c>
      <x:c r="I10" s="29">
        <x:f>IF(A10&lt;Supuestos!$B$6,0,E10+0.5*(D10-G10))</x:f>
        <x:v>1</x:v>
      </x:c>
      <x:c r="J10" s="11">
        <x:f>IF(A10&lt;Supuestos!$B$6,0,IF(A10&lt;Supuestos!$B$7,Supuestos!$B$8,Supuestos!$B$9))</x:f>
        <x:v>40</x:v>
      </x:c>
      <x:c r="K10" s="11">
        <x:f>I10*J10</x:f>
        <x:v>40</x:v>
      </x:c>
      <x:c r="L10" s="11">
        <x:f>'Desarrollo'!F12</x:f>
        <x:v>10503.125</x:v>
      </x:c>
      <x:c r="M10" s="11">
        <x:f>INDEX('Operación e Infra'!$B$15:$F$15,1,C10)</x:f>
        <x:v>6800</x:v>
      </x:c>
      <x:c r="N10" s="11">
        <x:f>INDEX('Operación e Infra'!$B$16:$F$16,1,C10)</x:f>
        <x:v>850</x:v>
      </x:c>
      <x:c r="O10" s="11">
        <x:f>INDEX('Operación e Infra'!$B$17:$F$17,1,C10)</x:f>
        <x:v>1000</x:v>
      </x:c>
      <x:c r="P10" s="11">
        <x:f>H10*INDEX('Operación e Infra'!$B$18:$F$18,1,C10)</x:f>
        <x:v>2.4</x:v>
      </x:c>
      <x:c r="Q10" s="11">
        <x:f>SUM(L10:P10)</x:f>
        <x:v>19155.525</x:v>
      </x:c>
      <x:c r="R10" s="11">
        <x:f>K10-Q10</x:f>
        <x:v>-19115.525</x:v>
      </x:c>
      <x:c r="S10" s="11">
        <x:f>S9+R10</x:f>
        <x:v>-69040.525</x:v>
      </x:c>
      <x:c r="T10" s="10" t="b">
        <x:f>R10&gt;0</x:f>
        <x:v>0</x:v>
      </x:c>
    </x:row>
    <x:row r="11">
      <x:c r="A11" s="10" t="n">
        <x:v>6</x:v>
      </x:c>
      <x:c r="B11" s="10">
        <x:f>ROUNDUP(A11/12,0)</x:f>
        <x:v>1</x:v>
      </x:c>
      <x:c r="C11" s="10">
        <x:f>IF(A11&lt;=4,1,IF(A11&lt;=10,2,IF(A11&lt;=18,3,IF(A11&lt;=24,4,5))))</x:f>
        <x:v>2</x:v>
      </x:c>
      <x:c r="D11" s="23" t="n">
        <x:v>3</x:v>
      </x:c>
      <x:c r="E11" s="10">
        <x:f>H10</x:f>
        <x:v>2</x:v>
      </x:c>
      <x:c r="F11" s="31">
        <x:f>IF(A11&lt;Supuestos!$B$6,0,Supuestos!$B$10)</x:f>
        <x:v>0.015</x:v>
      </x:c>
      <x:c r="G11" s="29">
        <x:f>E11*F11</x:f>
        <x:v>0.03</x:v>
      </x:c>
      <x:c r="H11" s="29">
        <x:f>E11+D11-G11</x:f>
        <x:v>4.97</x:v>
      </x:c>
      <x:c r="I11" s="29">
        <x:f>IF(A11&lt;Supuestos!$B$6,0,E11+0.5*(D11-G11))</x:f>
        <x:v>3.4850000000000003</x:v>
      </x:c>
      <x:c r="J11" s="11">
        <x:f>IF(A11&lt;Supuestos!$B$6,0,IF(A11&lt;Supuestos!$B$7,Supuestos!$B$8,Supuestos!$B$9))</x:f>
        <x:v>40</x:v>
      </x:c>
      <x:c r="K11" s="11">
        <x:f>I11*J11</x:f>
        <x:v>139.4</x:v>
      </x:c>
      <x:c r="L11" s="11">
        <x:f>'Desarrollo'!G12</x:f>
        <x:v>10503.125</x:v>
      </x:c>
      <x:c r="M11" s="11">
        <x:f>INDEX('Operación e Infra'!$B$15:$F$15,1,C11)</x:f>
        <x:v>6800</x:v>
      </x:c>
      <x:c r="N11" s="11">
        <x:f>INDEX('Operación e Infra'!$B$16:$F$16,1,C11)</x:f>
        <x:v>850</x:v>
      </x:c>
      <x:c r="O11" s="11">
        <x:f>INDEX('Operación e Infra'!$B$17:$F$17,1,C11)</x:f>
        <x:v>1000</x:v>
      </x:c>
      <x:c r="P11" s="11">
        <x:f>H11*INDEX('Operación e Infra'!$B$18:$F$18,1,C11)</x:f>
        <x:v>5.9639999999999995</x:v>
      </x:c>
      <x:c r="Q11" s="11">
        <x:f>SUM(L11:P11)</x:f>
        <x:v>19159.089</x:v>
      </x:c>
      <x:c r="R11" s="11">
        <x:f>K11-Q11</x:f>
        <x:v>-19019.689</x:v>
      </x:c>
      <x:c r="S11" s="11">
        <x:f>S10+R11</x:f>
        <x:v>-88060.21399999999</x:v>
      </x:c>
      <x:c r="T11" s="10" t="b">
        <x:f>R11&gt;0</x:f>
        <x:v>0</x:v>
      </x:c>
    </x:row>
    <x:row r="12">
      <x:c r="A12" s="10" t="n">
        <x:v>7</x:v>
      </x:c>
      <x:c r="B12" s="10">
        <x:f>ROUNDUP(A12/12,0)</x:f>
        <x:v>1</x:v>
      </x:c>
      <x:c r="C12" s="10">
        <x:f>IF(A12&lt;=4,1,IF(A12&lt;=10,2,IF(A12&lt;=18,3,IF(A12&lt;=24,4,5))))</x:f>
        <x:v>2</x:v>
      </x:c>
      <x:c r="D12" s="23" t="n">
        <x:v>4</x:v>
      </x:c>
      <x:c r="E12" s="10">
        <x:f>H11</x:f>
        <x:v>4.97</x:v>
      </x:c>
      <x:c r="F12" s="31">
        <x:f>IF(A12&lt;Supuestos!$B$6,0,Supuestos!$B$10)</x:f>
        <x:v>0.015</x:v>
      </x:c>
      <x:c r="G12" s="29">
        <x:f>E12*F12</x:f>
        <x:v>0.07454999999999999</x:v>
      </x:c>
      <x:c r="H12" s="29">
        <x:f>E12+D12-G12</x:f>
        <x:v>8.895449999999999</x:v>
      </x:c>
      <x:c r="I12" s="29">
        <x:f>IF(A12&lt;Supuestos!$B$6,0,E12+0.5*(D12-G12))</x:f>
        <x:v>6.932725</x:v>
      </x:c>
      <x:c r="J12" s="11">
        <x:f>IF(A12&lt;Supuestos!$B$6,0,IF(A12&lt;Supuestos!$B$7,Supuestos!$B$8,Supuestos!$B$9))</x:f>
        <x:v>40</x:v>
      </x:c>
      <x:c r="K12" s="11">
        <x:f>I12*J12</x:f>
        <x:v>277.30899999999997</x:v>
      </x:c>
      <x:c r="L12" s="11">
        <x:f>'Desarrollo'!H12</x:f>
        <x:v>10503.125</x:v>
      </x:c>
      <x:c r="M12" s="11">
        <x:f>INDEX('Operación e Infra'!$B$15:$F$15,1,C12)</x:f>
        <x:v>6800</x:v>
      </x:c>
      <x:c r="N12" s="11">
        <x:f>INDEX('Operación e Infra'!$B$16:$F$16,1,C12)</x:f>
        <x:v>850</x:v>
      </x:c>
      <x:c r="O12" s="11">
        <x:f>INDEX('Operación e Infra'!$B$17:$F$17,1,C12)</x:f>
        <x:v>1000</x:v>
      </x:c>
      <x:c r="P12" s="11">
        <x:f>H12*INDEX('Operación e Infra'!$B$18:$F$18,1,C12)</x:f>
        <x:v>10.674539999999999</x:v>
      </x:c>
      <x:c r="Q12" s="11">
        <x:f>SUM(L12:P12)</x:f>
        <x:v>19163.79954</x:v>
      </x:c>
      <x:c r="R12" s="11">
        <x:f>K12-Q12</x:f>
        <x:v>-18886.49054</x:v>
      </x:c>
      <x:c r="S12" s="11">
        <x:f>S11+R12</x:f>
        <x:v>-106946.70453999999</x:v>
      </x:c>
      <x:c r="T12" s="10" t="b">
        <x:f>R12&gt;0</x:f>
        <x:v>0</x:v>
      </x:c>
    </x:row>
    <x:row r="13">
      <x:c r="A13" s="10" t="n">
        <x:v>8</x:v>
      </x:c>
      <x:c r="B13" s="10">
        <x:f>ROUNDUP(A13/12,0)</x:f>
        <x:v>1</x:v>
      </x:c>
      <x:c r="C13" s="10">
        <x:f>IF(A13&lt;=4,1,IF(A13&lt;=10,2,IF(A13&lt;=18,3,IF(A13&lt;=24,4,5))))</x:f>
        <x:v>2</x:v>
      </x:c>
      <x:c r="D13" s="23" t="n">
        <x:v>5</x:v>
      </x:c>
      <x:c r="E13" s="10">
        <x:f>H12</x:f>
        <x:v>8.895449999999999</x:v>
      </x:c>
      <x:c r="F13" s="31">
        <x:f>IF(A13&lt;Supuestos!$B$6,0,Supuestos!$B$10)</x:f>
        <x:v>0.015</x:v>
      </x:c>
      <x:c r="G13" s="29">
        <x:f>E13*F13</x:f>
        <x:v>0.13343174999999996</x:v>
      </x:c>
      <x:c r="H13" s="29">
        <x:f>E13+D13-G13</x:f>
        <x:v>13.762018249999999</x:v>
      </x:c>
      <x:c r="I13" s="29">
        <x:f>IF(A13&lt;Supuestos!$B$6,0,E13+0.5*(D13-G13))</x:f>
        <x:v>11.328734124999999</x:v>
      </x:c>
      <x:c r="J13" s="11">
        <x:f>IF(A13&lt;Supuestos!$B$6,0,IF(A13&lt;Supuestos!$B$7,Supuestos!$B$8,Supuestos!$B$9))</x:f>
        <x:v>40</x:v>
      </x:c>
      <x:c r="K13" s="11">
        <x:f>I13*J13</x:f>
        <x:v>453.14936499999993</x:v>
      </x:c>
      <x:c r="L13" s="11">
        <x:f>'Desarrollo'!I12</x:f>
        <x:v>10503.125</x:v>
      </x:c>
      <x:c r="M13" s="11">
        <x:f>INDEX('Operación e Infra'!$B$15:$F$15,1,C13)</x:f>
        <x:v>6800</x:v>
      </x:c>
      <x:c r="N13" s="11">
        <x:f>INDEX('Operación e Infra'!$B$16:$F$16,1,C13)</x:f>
        <x:v>850</x:v>
      </x:c>
      <x:c r="O13" s="11">
        <x:f>INDEX('Operación e Infra'!$B$17:$F$17,1,C13)</x:f>
        <x:v>1000</x:v>
      </x:c>
      <x:c r="P13" s="11">
        <x:f>H13*INDEX('Operación e Infra'!$B$18:$F$18,1,C13)</x:f>
        <x:v>16.5144219</x:v>
      </x:c>
      <x:c r="Q13" s="11">
        <x:f>SUM(L13:P13)</x:f>
        <x:v>19169.6394219</x:v>
      </x:c>
      <x:c r="R13" s="11">
        <x:f>K13-Q13</x:f>
        <x:v>-18716.4900569</x:v>
      </x:c>
      <x:c r="S13" s="11">
        <x:f>S12+R13</x:f>
        <x:v>-125663.1945969</x:v>
      </x:c>
      <x:c r="T13" s="10" t="b">
        <x:f>R13&gt;0</x:f>
        <x:v>0</x:v>
      </x:c>
    </x:row>
    <x:row r="14">
      <x:c r="A14" s="10" t="n">
        <x:v>9</x:v>
      </x:c>
      <x:c r="B14" s="10">
        <x:f>ROUNDUP(A14/12,0)</x:f>
        <x:v>1</x:v>
      </x:c>
      <x:c r="C14" s="10">
        <x:f>IF(A14&lt;=4,1,IF(A14&lt;=10,2,IF(A14&lt;=18,3,IF(A14&lt;=24,4,5))))</x:f>
        <x:v>2</x:v>
      </x:c>
      <x:c r="D14" s="23" t="n">
        <x:v>6</x:v>
      </x:c>
      <x:c r="E14" s="10">
        <x:f>H13</x:f>
        <x:v>13.762018249999999</x:v>
      </x:c>
      <x:c r="F14" s="31">
        <x:f>IF(A14&lt;Supuestos!$B$6,0,Supuestos!$B$10)</x:f>
        <x:v>0.015</x:v>
      </x:c>
      <x:c r="G14" s="29">
        <x:f>E14*F14</x:f>
        <x:v>0.20643027374999998</x:v>
      </x:c>
      <x:c r="H14" s="29">
        <x:f>E14+D14-G14</x:f>
        <x:v>19.555587976249996</x:v>
      </x:c>
      <x:c r="I14" s="29">
        <x:f>IF(A14&lt;Supuestos!$B$6,0,E14+0.5*(D14-G14))</x:f>
        <x:v>16.658803113125</x:v>
      </x:c>
      <x:c r="J14" s="11">
        <x:f>IF(A14&lt;Supuestos!$B$6,0,IF(A14&lt;Supuestos!$B$7,Supuestos!$B$8,Supuestos!$B$9))</x:f>
        <x:v>40</x:v>
      </x:c>
      <x:c r="K14" s="11">
        <x:f>I14*J14</x:f>
        <x:v>666.352124525</x:v>
      </x:c>
      <x:c r="L14" s="11">
        <x:f>'Desarrollo'!J12</x:f>
        <x:v>10503.125</x:v>
      </x:c>
      <x:c r="M14" s="11">
        <x:f>INDEX('Operación e Infra'!$B$15:$F$15,1,C14)</x:f>
        <x:v>6800</x:v>
      </x:c>
      <x:c r="N14" s="11">
        <x:f>INDEX('Operación e Infra'!$B$16:$F$16,1,C14)</x:f>
        <x:v>850</x:v>
      </x:c>
      <x:c r="O14" s="11">
        <x:f>INDEX('Operación e Infra'!$B$17:$F$17,1,C14)</x:f>
        <x:v>1000</x:v>
      </x:c>
      <x:c r="P14" s="11">
        <x:f>H14*INDEX('Operación e Infra'!$B$18:$F$18,1,C14)</x:f>
        <x:v>23.466705571499993</x:v>
      </x:c>
      <x:c r="Q14" s="11">
        <x:f>SUM(L14:P14)</x:f>
        <x:v>19176.5917055715</x:v>
      </x:c>
      <x:c r="R14" s="11">
        <x:f>K14-Q14</x:f>
        <x:v>-18510.2395810465</x:v>
      </x:c>
      <x:c r="S14" s="11">
        <x:f>S13+R14</x:f>
        <x:v>-144173.4341779465</x:v>
      </x:c>
      <x:c r="T14" s="10" t="b">
        <x:f>R14&gt;0</x:f>
        <x:v>0</x:v>
      </x:c>
    </x:row>
    <x:row r="15">
      <x:c r="A15" s="10" t="n">
        <x:v>10</x:v>
      </x:c>
      <x:c r="B15" s="10">
        <x:f>ROUNDUP(A15/12,0)</x:f>
        <x:v>1</x:v>
      </x:c>
      <x:c r="C15" s="10">
        <x:f>IF(A15&lt;=4,1,IF(A15&lt;=10,2,IF(A15&lt;=18,3,IF(A15&lt;=24,4,5))))</x:f>
        <x:v>2</x:v>
      </x:c>
      <x:c r="D15" s="23" t="n">
        <x:v>8</x:v>
      </x:c>
      <x:c r="E15" s="10">
        <x:f>H14</x:f>
        <x:v>19.555587976249996</x:v>
      </x:c>
      <x:c r="F15" s="31">
        <x:f>IF(A15&lt;Supuestos!$B$6,0,Supuestos!$B$10)</x:f>
        <x:v>0.015</x:v>
      </x:c>
      <x:c r="G15" s="29">
        <x:f>E15*F15</x:f>
        <x:v>0.29333381964374994</x:v>
      </x:c>
      <x:c r="H15" s="29">
        <x:f>E15+D15-G15</x:f>
        <x:v>27.262254156606247</x:v>
      </x:c>
      <x:c r="I15" s="29">
        <x:f>IF(A15&lt;Supuestos!$B$6,0,E15+0.5*(D15-G15))</x:f>
        <x:v>23.40892106642812</x:v>
      </x:c>
      <x:c r="J15" s="11">
        <x:f>IF(A15&lt;Supuestos!$B$6,0,IF(A15&lt;Supuestos!$B$7,Supuestos!$B$8,Supuestos!$B$9))</x:f>
        <x:v>40</x:v>
      </x:c>
      <x:c r="K15" s="11">
        <x:f>I15*J15</x:f>
        <x:v>936.3568426571248</x:v>
      </x:c>
      <x:c r="L15" s="11">
        <x:f>'Desarrollo'!K12</x:f>
        <x:v>10503.125</x:v>
      </x:c>
      <x:c r="M15" s="11">
        <x:f>INDEX('Operación e Infra'!$B$15:$F$15,1,C15)</x:f>
        <x:v>6800</x:v>
      </x:c>
      <x:c r="N15" s="11">
        <x:f>INDEX('Operación e Infra'!$B$16:$F$16,1,C15)</x:f>
        <x:v>850</x:v>
      </x:c>
      <x:c r="O15" s="11">
        <x:f>INDEX('Operación e Infra'!$B$17:$F$17,1,C15)</x:f>
        <x:v>1000</x:v>
      </x:c>
      <x:c r="P15" s="11">
        <x:f>H15*INDEX('Operación e Infra'!$B$18:$F$18,1,C15)</x:f>
        <x:v>32.7147049879275</x:v>
      </x:c>
      <x:c r="Q15" s="11">
        <x:f>SUM(L15:P15)</x:f>
        <x:v>19185.839704987928</x:v>
      </x:c>
      <x:c r="R15" s="11">
        <x:f>K15-Q15</x:f>
        <x:v>-18249.482862330802</x:v>
      </x:c>
      <x:c r="S15" s="11">
        <x:f>S14+R15</x:f>
        <x:v>-162422.9170402773</x:v>
      </x:c>
      <x:c r="T15" s="10" t="b">
        <x:f>R15&gt;0</x:f>
        <x:v>0</x:v>
      </x:c>
    </x:row>
    <x:row r="16">
      <x:c r="A16" s="10" t="n">
        <x:v>11</x:v>
      </x:c>
      <x:c r="B16" s="10">
        <x:f>ROUNDUP(A16/12,0)</x:f>
        <x:v>1</x:v>
      </x:c>
      <x:c r="C16" s="10">
        <x:f>IF(A16&lt;=4,1,IF(A16&lt;=10,2,IF(A16&lt;=18,3,IF(A16&lt;=24,4,5))))</x:f>
        <x:v>3</x:v>
      </x:c>
      <x:c r="D16" s="23" t="n">
        <x:v>9</x:v>
      </x:c>
      <x:c r="E16" s="10">
        <x:f>H15</x:f>
        <x:v>27.262254156606247</x:v>
      </x:c>
      <x:c r="F16" s="31">
        <x:f>IF(A16&lt;Supuestos!$B$6,0,Supuestos!$B$10)</x:f>
        <x:v>0.015</x:v>
      </x:c>
      <x:c r="G16" s="29">
        <x:f>E16*F16</x:f>
        <x:v>0.4089338123490937</x:v>
      </x:c>
      <x:c r="H16" s="29">
        <x:f>E16+D16-G16</x:f>
        <x:v>35.853320344257156</x:v>
      </x:c>
      <x:c r="I16" s="29">
        <x:f>IF(A16&lt;Supuestos!$B$6,0,E16+0.5*(D16-G16))</x:f>
        <x:v>31.5577872504317</x:v>
      </x:c>
      <x:c r="J16" s="11">
        <x:f>IF(A16&lt;Supuestos!$B$6,0,IF(A16&lt;Supuestos!$B$7,Supuestos!$B$8,Supuestos!$B$9))</x:f>
        <x:v>90</x:v>
      </x:c>
      <x:c r="K16" s="11">
        <x:f>I16*J16</x:f>
        <x:v>2840.2008525388533</x:v>
      </x:c>
      <x:c r="L16" s="11">
        <x:f>'Desarrollo'!L12</x:f>
        <x:v>0</x:v>
      </x:c>
      <x:c r="M16" s="11">
        <x:f>INDEX('Operación e Infra'!$B$15:$F$15,1,C16)</x:f>
        <x:v>10000</x:v>
      </x:c>
      <x:c r="N16" s="11">
        <x:f>INDEX('Operación e Infra'!$B$16:$F$16,1,C16)</x:f>
        <x:v>4100</x:v>
      </x:c>
      <x:c r="O16" s="11">
        <x:f>INDEX('Operación e Infra'!$B$17:$F$17,1,C16)</x:f>
        <x:v>1450</x:v>
      </x:c>
      <x:c r="P16" s="11">
        <x:f>H16*INDEX('Operación e Infra'!$B$18:$F$18,1,C16)</x:f>
        <x:v>53.779980516385734</x:v>
      </x:c>
      <x:c r="Q16" s="11">
        <x:f>SUM(L16:P16)</x:f>
        <x:v>15603.779980516385</x:v>
      </x:c>
      <x:c r="R16" s="11">
        <x:f>K16-Q16</x:f>
        <x:v>-12763.579127977531</x:v>
      </x:c>
      <x:c r="S16" s="11">
        <x:f>S15+R16</x:f>
        <x:v>-175186.49616825485</x:v>
      </x:c>
      <x:c r="T16" s="10" t="b">
        <x:f>R16&gt;0</x:f>
        <x:v>0</x:v>
      </x:c>
    </x:row>
    <x:row r="17">
      <x:c r="A17" s="10" t="n">
        <x:v>12</x:v>
      </x:c>
      <x:c r="B17" s="10">
        <x:f>ROUNDUP(A17/12,0)</x:f>
        <x:v>1</x:v>
      </x:c>
      <x:c r="C17" s="10">
        <x:f>IF(A17&lt;=4,1,IF(A17&lt;=10,2,IF(A17&lt;=18,3,IF(A17&lt;=24,4,5))))</x:f>
        <x:v>3</x:v>
      </x:c>
      <x:c r="D17" s="23" t="n">
        <x:v>10</x:v>
      </x:c>
      <x:c r="E17" s="10">
        <x:f>H16</x:f>
        <x:v>35.853320344257156</x:v>
      </x:c>
      <x:c r="F17" s="31">
        <x:f>IF(A17&lt;Supuestos!$B$6,0,Supuestos!$B$10)</x:f>
        <x:v>0.015</x:v>
      </x:c>
      <x:c r="G17" s="29">
        <x:f>E17*F17</x:f>
        <x:v>0.5377998051638573</x:v>
      </x:c>
      <x:c r="H17" s="29">
        <x:f>E17+D17-G17</x:f>
        <x:v>45.3155205390933</x:v>
      </x:c>
      <x:c r="I17" s="29">
        <x:f>IF(A17&lt;Supuestos!$B$6,0,E17+0.5*(D17-G17))</x:f>
        <x:v>40.58442044167523</x:v>
      </x:c>
      <x:c r="J17" s="11">
        <x:f>IF(A17&lt;Supuestos!$B$6,0,IF(A17&lt;Supuestos!$B$7,Supuestos!$B$8,Supuestos!$B$9))</x:f>
        <x:v>90</x:v>
      </x:c>
      <x:c r="K17" s="11">
        <x:f>I17*J17</x:f>
        <x:v>3652.5978397507706</x:v>
      </x:c>
      <x:c r="L17" s="11">
        <x:f>'Desarrollo'!M12</x:f>
        <x:v>0</x:v>
      </x:c>
      <x:c r="M17" s="11">
        <x:f>INDEX('Operación e Infra'!$B$15:$F$15,1,C17)</x:f>
        <x:v>10000</x:v>
      </x:c>
      <x:c r="N17" s="11">
        <x:f>INDEX('Operación e Infra'!$B$16:$F$16,1,C17)</x:f>
        <x:v>4100</x:v>
      </x:c>
      <x:c r="O17" s="11">
        <x:f>INDEX('Operación e Infra'!$B$17:$F$17,1,C17)</x:f>
        <x:v>1450</x:v>
      </x:c>
      <x:c r="P17" s="11">
        <x:f>H17*INDEX('Operación e Infra'!$B$18:$F$18,1,C17)</x:f>
        <x:v>67.97328080863994</x:v>
      </x:c>
      <x:c r="Q17" s="11">
        <x:f>SUM(L17:P17)</x:f>
        <x:v>15617.97328080864</x:v>
      </x:c>
      <x:c r="R17" s="11">
        <x:f>K17-Q17</x:f>
        <x:v>-11965.37544105787</x:v>
      </x:c>
      <x:c r="S17" s="11">
        <x:f>S16+R17</x:f>
        <x:v>-187151.87160931272</x:v>
      </x:c>
      <x:c r="T17" s="10" t="b">
        <x:f>R17&gt;0</x:f>
        <x:v>0</x:v>
      </x:c>
    </x:row>
    <x:row r="18">
      <x:c r="A18" s="10" t="n">
        <x:v>13</x:v>
      </x:c>
      <x:c r="B18" s="10">
        <x:f>ROUNDUP(A18/12,0)</x:f>
        <x:v>2</x:v>
      </x:c>
      <x:c r="C18" s="10">
        <x:f>IF(A18&lt;=4,1,IF(A18&lt;=10,2,IF(A18&lt;=18,3,IF(A18&lt;=24,4,5))))</x:f>
        <x:v>3</x:v>
      </x:c>
      <x:c r="D18" s="23" t="n">
        <x:v>12</x:v>
      </x:c>
      <x:c r="E18" s="10">
        <x:f>H17</x:f>
        <x:v>45.3155205390933</x:v>
      </x:c>
      <x:c r="F18" s="31">
        <x:f>IF(A18&lt;Supuestos!$B$6,0,Supuestos!$B$10)</x:f>
        <x:v>0.015</x:v>
      </x:c>
      <x:c r="G18" s="29">
        <x:f>E18*F18</x:f>
        <x:v>0.6797328080863995</x:v>
      </x:c>
      <x:c r="H18" s="29">
        <x:f>E18+D18-G18</x:f>
        <x:v>56.6357877310069</x:v>
      </x:c>
      <x:c r="I18" s="29">
        <x:f>IF(A18&lt;Supuestos!$B$6,0,E18+0.5*(D18-G18))</x:f>
        <x:v>50.9756541350501</x:v>
      </x:c>
      <x:c r="J18" s="11">
        <x:f>IF(A18&lt;Supuestos!$B$6,0,IF(A18&lt;Supuestos!$B$7,Supuestos!$B$8,Supuestos!$B$9))</x:f>
        <x:v>90</x:v>
      </x:c>
      <x:c r="K18" s="11">
        <x:f>I18*J18</x:f>
        <x:v>4587.808872154509</x:v>
      </x:c>
      <x:c r="L18" s="11">
        <x:f>'Desarrollo'!N12</x:f>
        <x:v>0</x:v>
      </x:c>
      <x:c r="M18" s="11">
        <x:f>INDEX('Operación e Infra'!$B$15:$F$15,1,C18)</x:f>
        <x:v>10000</x:v>
      </x:c>
      <x:c r="N18" s="11">
        <x:f>INDEX('Operación e Infra'!$B$16:$F$16,1,C18)</x:f>
        <x:v>4100</x:v>
      </x:c>
      <x:c r="O18" s="11">
        <x:f>INDEX('Operación e Infra'!$B$17:$F$17,1,C18)</x:f>
        <x:v>1450</x:v>
      </x:c>
      <x:c r="P18" s="11">
        <x:f>H18*INDEX('Operación e Infra'!$B$18:$F$18,1,C18)</x:f>
        <x:v>84.95368159651035</x:v>
      </x:c>
      <x:c r="Q18" s="11">
        <x:f>SUM(L18:P18)</x:f>
        <x:v>15634.953681596511</x:v>
      </x:c>
      <x:c r="R18" s="11">
        <x:f>K18-Q18</x:f>
        <x:v>-11047.144809442001</x:v>
      </x:c>
      <x:c r="S18" s="11">
        <x:f>S17+R18</x:f>
        <x:v>-198199.0164187547</x:v>
      </x:c>
      <x:c r="T18" s="10" t="b">
        <x:f>R18&gt;0</x:f>
        <x:v>0</x:v>
      </x:c>
    </x:row>
    <x:row r="19">
      <x:c r="A19" s="10" t="n">
        <x:v>14</x:v>
      </x:c>
      <x:c r="B19" s="10">
        <x:f>ROUNDUP(A19/12,0)</x:f>
        <x:v>2</x:v>
      </x:c>
      <x:c r="C19" s="10">
        <x:f>IF(A19&lt;=4,1,IF(A19&lt;=10,2,IF(A19&lt;=18,3,IF(A19&lt;=24,4,5))))</x:f>
        <x:v>3</x:v>
      </x:c>
      <x:c r="D19" s="23" t="n">
        <x:v>14</x:v>
      </x:c>
      <x:c r="E19" s="10">
        <x:f>H18</x:f>
        <x:v>56.6357877310069</x:v>
      </x:c>
      <x:c r="F19" s="31">
        <x:f>IF(A19&lt;Supuestos!$B$6,0,Supuestos!$B$10)</x:f>
        <x:v>0.015</x:v>
      </x:c>
      <x:c r="G19" s="29">
        <x:f>E19*F19</x:f>
        <x:v>0.8495368159651034</x:v>
      </x:c>
      <x:c r="H19" s="29">
        <x:f>E19+D19-G19</x:f>
        <x:v>69.78625091504179</x:v>
      </x:c>
      <x:c r="I19" s="29">
        <x:f>IF(A19&lt;Supuestos!$B$6,0,E19+0.5*(D19-G19))</x:f>
        <x:v>63.211019323024345</x:v>
      </x:c>
      <x:c r="J19" s="11">
        <x:f>IF(A19&lt;Supuestos!$B$6,0,IF(A19&lt;Supuestos!$B$7,Supuestos!$B$8,Supuestos!$B$9))</x:f>
        <x:v>90</x:v>
      </x:c>
      <x:c r="K19" s="11">
        <x:f>I19*J19</x:f>
        <x:v>5688.991739072191</x:v>
      </x:c>
      <x:c r="L19" s="11">
        <x:f>'Desarrollo'!O12</x:f>
        <x:v>0</x:v>
      </x:c>
      <x:c r="M19" s="11">
        <x:f>INDEX('Operación e Infra'!$B$15:$F$15,1,C19)</x:f>
        <x:v>10000</x:v>
      </x:c>
      <x:c r="N19" s="11">
        <x:f>INDEX('Operación e Infra'!$B$16:$F$16,1,C19)</x:f>
        <x:v>4100</x:v>
      </x:c>
      <x:c r="O19" s="11">
        <x:f>INDEX('Operación e Infra'!$B$17:$F$17,1,C19)</x:f>
        <x:v>1450</x:v>
      </x:c>
      <x:c r="P19" s="11">
        <x:f>H19*INDEX('Operación e Infra'!$B$18:$F$18,1,C19)</x:f>
        <x:v>104.67937637256269</x:v>
      </x:c>
      <x:c r="Q19" s="11">
        <x:f>SUM(L19:P19)</x:f>
        <x:v>15654.679376372562</x:v>
      </x:c>
      <x:c r="R19" s="11">
        <x:f>K19-Q19</x:f>
        <x:v>-9965.68763730037</x:v>
      </x:c>
      <x:c r="S19" s="11">
        <x:f>S18+R19</x:f>
        <x:v>-208164.70405605508</x:v>
      </x:c>
      <x:c r="T19" s="10" t="b">
        <x:f>R19&gt;0</x:f>
        <x:v>0</x:v>
      </x:c>
    </x:row>
    <x:row r="20">
      <x:c r="A20" s="10" t="n">
        <x:v>15</x:v>
      </x:c>
      <x:c r="B20" s="10">
        <x:f>ROUNDUP(A20/12,0)</x:f>
        <x:v>2</x:v>
      </x:c>
      <x:c r="C20" s="10">
        <x:f>IF(A20&lt;=4,1,IF(A20&lt;=10,2,IF(A20&lt;=18,3,IF(A20&lt;=24,4,5))))</x:f>
        <x:v>3</x:v>
      </x:c>
      <x:c r="D20" s="23" t="n">
        <x:v>15</x:v>
      </x:c>
      <x:c r="E20" s="10">
        <x:f>H19</x:f>
        <x:v>69.78625091504179</x:v>
      </x:c>
      <x:c r="F20" s="31">
        <x:f>IF(A20&lt;Supuestos!$B$6,0,Supuestos!$B$10)</x:f>
        <x:v>0.015</x:v>
      </x:c>
      <x:c r="G20" s="29">
        <x:f>E20*F20</x:f>
        <x:v>1.0467937637256268</x:v>
      </x:c>
      <x:c r="H20" s="29">
        <x:f>E20+D20-G20</x:f>
        <x:v>83.73945715131616</x:v>
      </x:c>
      <x:c r="I20" s="29">
        <x:f>IF(A20&lt;Supuestos!$B$6,0,E20+0.5*(D20-G20))</x:f>
        <x:v>76.76285403317898</x:v>
      </x:c>
      <x:c r="J20" s="11">
        <x:f>IF(A20&lt;Supuestos!$B$6,0,IF(A20&lt;Supuestos!$B$7,Supuestos!$B$8,Supuestos!$B$9))</x:f>
        <x:v>90</x:v>
      </x:c>
      <x:c r="K20" s="11">
        <x:f>I20*J20</x:f>
        <x:v>6908.6568629861085</x:v>
      </x:c>
      <x:c r="L20" s="11">
        <x:f>'Desarrollo'!P12</x:f>
        <x:v>0</x:v>
      </x:c>
      <x:c r="M20" s="11">
        <x:f>INDEX('Operación e Infra'!$B$15:$F$15,1,C20)</x:f>
        <x:v>10000</x:v>
      </x:c>
      <x:c r="N20" s="11">
        <x:f>INDEX('Operación e Infra'!$B$16:$F$16,1,C20)</x:f>
        <x:v>4100</x:v>
      </x:c>
      <x:c r="O20" s="11">
        <x:f>INDEX('Operación e Infra'!$B$17:$F$17,1,C20)</x:f>
        <x:v>1450</x:v>
      </x:c>
      <x:c r="P20" s="11">
        <x:f>H20*INDEX('Operación e Infra'!$B$18:$F$18,1,C20)</x:f>
        <x:v>125.60918572697423</x:v>
      </x:c>
      <x:c r="Q20" s="11">
        <x:f>SUM(L20:P20)</x:f>
        <x:v>15675.609185726975</x:v>
      </x:c>
      <x:c r="R20" s="11">
        <x:f>K20-Q20</x:f>
        <x:v>-8766.952322740866</x:v>
      </x:c>
      <x:c r="S20" s="11">
        <x:f>S19+R20</x:f>
        <x:v>-216931.65637879595</x:v>
      </x:c>
      <x:c r="T20" s="10" t="b">
        <x:f>R20&gt;0</x:f>
        <x:v>0</x:v>
      </x:c>
    </x:row>
    <x:row r="21">
      <x:c r="A21" s="10" t="n">
        <x:v>16</x:v>
      </x:c>
      <x:c r="B21" s="10">
        <x:f>ROUNDUP(A21/12,0)</x:f>
        <x:v>2</x:v>
      </x:c>
      <x:c r="C21" s="10">
        <x:f>IF(A21&lt;=4,1,IF(A21&lt;=10,2,IF(A21&lt;=18,3,IF(A21&lt;=24,4,5))))</x:f>
        <x:v>3</x:v>
      </x:c>
      <x:c r="D21" s="23" t="n">
        <x:v>16</x:v>
      </x:c>
      <x:c r="E21" s="10">
        <x:f>H20</x:f>
        <x:v>83.73945715131616</x:v>
      </x:c>
      <x:c r="F21" s="31">
        <x:f>IF(A21&lt;Supuestos!$B$6,0,Supuestos!$B$10)</x:f>
        <x:v>0.015</x:v>
      </x:c>
      <x:c r="G21" s="29">
        <x:f>E21*F21</x:f>
        <x:v>1.2560918572697424</x:v>
      </x:c>
      <x:c r="H21" s="29">
        <x:f>E21+D21-G21</x:f>
        <x:v>98.48336529404642</x:v>
      </x:c>
      <x:c r="I21" s="29">
        <x:f>IF(A21&lt;Supuestos!$B$6,0,E21+0.5*(D21-G21))</x:f>
        <x:v>91.11141122268128</x:v>
      </x:c>
      <x:c r="J21" s="11">
        <x:f>IF(A21&lt;Supuestos!$B$6,0,IF(A21&lt;Supuestos!$B$7,Supuestos!$B$8,Supuestos!$B$9))</x:f>
        <x:v>90</x:v>
      </x:c>
      <x:c r="K21" s="11">
        <x:f>I21*J21</x:f>
        <x:v>8200.027010041316</x:v>
      </x:c>
      <x:c r="L21" s="11">
        <x:f>'Desarrollo'!Q12</x:f>
        <x:v>0</x:v>
      </x:c>
      <x:c r="M21" s="11">
        <x:f>INDEX('Operación e Infra'!$B$15:$F$15,1,C21)</x:f>
        <x:v>10000</x:v>
      </x:c>
      <x:c r="N21" s="11">
        <x:f>INDEX('Operación e Infra'!$B$16:$F$16,1,C21)</x:f>
        <x:v>4100</x:v>
      </x:c>
      <x:c r="O21" s="11">
        <x:f>INDEX('Operación e Infra'!$B$17:$F$17,1,C21)</x:f>
        <x:v>1450</x:v>
      </x:c>
      <x:c r="P21" s="11">
        <x:f>H21*INDEX('Operación e Infra'!$B$18:$F$18,1,C21)</x:f>
        <x:v>147.72504794106965</x:v>
      </x:c>
      <x:c r="Q21" s="11">
        <x:f>SUM(L21:P21)</x:f>
        <x:v>15697.72504794107</x:v>
      </x:c>
      <x:c r="R21" s="11">
        <x:f>K21-Q21</x:f>
        <x:v>-7497.698037899754</x:v>
      </x:c>
      <x:c r="S21" s="11">
        <x:f>S20+R21</x:f>
        <x:v>-224429.3544166957</x:v>
      </x:c>
      <x:c r="T21" s="10" t="b">
        <x:f>R21&gt;0</x:f>
        <x:v>0</x:v>
      </x:c>
    </x:row>
    <x:row r="22">
      <x:c r="A22" s="10" t="n">
        <x:v>17</x:v>
      </x:c>
      <x:c r="B22" s="10">
        <x:f>ROUNDUP(A22/12,0)</x:f>
        <x:v>2</x:v>
      </x:c>
      <x:c r="C22" s="10">
        <x:f>IF(A22&lt;=4,1,IF(A22&lt;=10,2,IF(A22&lt;=18,3,IF(A22&lt;=24,4,5))))</x:f>
        <x:v>3</x:v>
      </x:c>
      <x:c r="D22" s="23" t="n">
        <x:v>18</x:v>
      </x:c>
      <x:c r="E22" s="10">
        <x:f>H21</x:f>
        <x:v>98.48336529404642</x:v>
      </x:c>
      <x:c r="F22" s="31">
        <x:f>IF(A22&lt;Supuestos!$B$6,0,Supuestos!$B$10)</x:f>
        <x:v>0.015</x:v>
      </x:c>
      <x:c r="G22" s="29">
        <x:f>E22*F22</x:f>
        <x:v>1.4772504794106962</x:v>
      </x:c>
      <x:c r="H22" s="29">
        <x:f>E22+D22-G22</x:f>
        <x:v>115.00611481463572</x:v>
      </x:c>
      <x:c r="I22" s="29">
        <x:f>IF(A22&lt;Supuestos!$B$6,0,E22+0.5*(D22-G22))</x:f>
        <x:v>106.74474005434108</x:v>
      </x:c>
      <x:c r="J22" s="11">
        <x:f>IF(A22&lt;Supuestos!$B$6,0,IF(A22&lt;Supuestos!$B$7,Supuestos!$B$8,Supuestos!$B$9))</x:f>
        <x:v>90</x:v>
      </x:c>
      <x:c r="K22" s="11">
        <x:f>I22*J22</x:f>
        <x:v>9607.026604890698</x:v>
      </x:c>
      <x:c r="L22" s="11">
        <x:f>'Desarrollo'!R12</x:f>
        <x:v>0</x:v>
      </x:c>
      <x:c r="M22" s="11">
        <x:f>INDEX('Operación e Infra'!$B$15:$F$15,1,C22)</x:f>
        <x:v>10000</x:v>
      </x:c>
      <x:c r="N22" s="11">
        <x:f>INDEX('Operación e Infra'!$B$16:$F$16,1,C22)</x:f>
        <x:v>4100</x:v>
      </x:c>
      <x:c r="O22" s="11">
        <x:f>INDEX('Operación e Infra'!$B$17:$F$17,1,C22)</x:f>
        <x:v>1450</x:v>
      </x:c>
      <x:c r="P22" s="11">
        <x:f>H22*INDEX('Operación e Infra'!$B$18:$F$18,1,C22)</x:f>
        <x:v>172.50917222195358</x:v>
      </x:c>
      <x:c r="Q22" s="11">
        <x:f>SUM(L22:P22)</x:f>
        <x:v>15722.509172221953</x:v>
      </x:c>
      <x:c r="R22" s="11">
        <x:f>K22-Q22</x:f>
        <x:v>-6115.482567331255</x:v>
      </x:c>
      <x:c r="S22" s="11">
        <x:f>S21+R22</x:f>
        <x:v>-230544.83698402697</x:v>
      </x:c>
      <x:c r="T22" s="10" t="b">
        <x:f>R22&gt;0</x:f>
        <x:v>0</x:v>
      </x:c>
    </x:row>
    <x:row r="23">
      <x:c r="A23" s="10" t="n">
        <x:v>18</x:v>
      </x:c>
      <x:c r="B23" s="10">
        <x:f>ROUNDUP(A23/12,0)</x:f>
        <x:v>2</x:v>
      </x:c>
      <x:c r="C23" s="10">
        <x:f>IF(A23&lt;=4,1,IF(A23&lt;=10,2,IF(A23&lt;=18,3,IF(A23&lt;=24,4,5))))</x:f>
        <x:v>3</x:v>
      </x:c>
      <x:c r="D23" s="23" t="n">
        <x:v>20</x:v>
      </x:c>
      <x:c r="E23" s="10">
        <x:f>H22</x:f>
        <x:v>115.00611481463572</x:v>
      </x:c>
      <x:c r="F23" s="31">
        <x:f>IF(A23&lt;Supuestos!$B$6,0,Supuestos!$B$10)</x:f>
        <x:v>0.015</x:v>
      </x:c>
      <x:c r="G23" s="29">
        <x:f>E23*F23</x:f>
        <x:v>1.7250917222195359</x:v>
      </x:c>
      <x:c r="H23" s="29">
        <x:f>E23+D23-G23</x:f>
        <x:v>133.2810230924162</x:v>
      </x:c>
      <x:c r="I23" s="29">
        <x:f>IF(A23&lt;Supuestos!$B$6,0,E23+0.5*(D23-G23))</x:f>
        <x:v>124.14356895352596</x:v>
      </x:c>
      <x:c r="J23" s="11">
        <x:f>IF(A23&lt;Supuestos!$B$6,0,IF(A23&lt;Supuestos!$B$7,Supuestos!$B$8,Supuestos!$B$9))</x:f>
        <x:v>90</x:v>
      </x:c>
      <x:c r="K23" s="11">
        <x:f>I23*J23</x:f>
        <x:v>11172.921205817336</x:v>
      </x:c>
      <x:c r="L23" s="11">
        <x:f>'Desarrollo'!S12</x:f>
        <x:v>0</x:v>
      </x:c>
      <x:c r="M23" s="11">
        <x:f>INDEX('Operación e Infra'!$B$15:$F$15,1,C23)</x:f>
        <x:v>10000</x:v>
      </x:c>
      <x:c r="N23" s="11">
        <x:f>INDEX('Operación e Infra'!$B$16:$F$16,1,C23)</x:f>
        <x:v>4100</x:v>
      </x:c>
      <x:c r="O23" s="11">
        <x:f>INDEX('Operación e Infra'!$B$17:$F$17,1,C23)</x:f>
        <x:v>1450</x:v>
      </x:c>
      <x:c r="P23" s="11">
        <x:f>H23*INDEX('Operación e Infra'!$B$18:$F$18,1,C23)</x:f>
        <x:v>199.9215346386243</x:v>
      </x:c>
      <x:c r="Q23" s="11">
        <x:f>SUM(L23:P23)</x:f>
        <x:v>15749.921534638625</x:v>
      </x:c>
      <x:c r="R23" s="11">
        <x:f>K23-Q23</x:f>
        <x:v>-4577.000328821288</x:v>
      </x:c>
      <x:c r="S23" s="11">
        <x:f>S22+R23</x:f>
        <x:v>-235121.83731284825</x:v>
      </x:c>
      <x:c r="T23" s="10" t="b">
        <x:f>R23&gt;0</x:f>
        <x:v>0</x:v>
      </x:c>
    </x:row>
    <x:row r="24">
      <x:c r="A24" s="10" t="n">
        <x:v>19</x:v>
      </x:c>
      <x:c r="B24" s="10">
        <x:f>ROUNDUP(A24/12,0)</x:f>
        <x:v>2</x:v>
      </x:c>
      <x:c r="C24" s="10">
        <x:f>IF(A24&lt;=4,1,IF(A24&lt;=10,2,IF(A24&lt;=18,3,IF(A24&lt;=24,4,5))))</x:f>
        <x:v>4</x:v>
      </x:c>
      <x:c r="D24" s="23" t="n">
        <x:v>22</x:v>
      </x:c>
      <x:c r="E24" s="10">
        <x:f>H23</x:f>
        <x:v>133.2810230924162</x:v>
      </x:c>
      <x:c r="F24" s="31">
        <x:f>IF(A24&lt;Supuestos!$B$6,0,Supuestos!$B$10)</x:f>
        <x:v>0.015</x:v>
      </x:c>
      <x:c r="G24" s="29">
        <x:f>E24*F24</x:f>
        <x:v>1.999215346386243</x:v>
      </x:c>
      <x:c r="H24" s="29">
        <x:f>E24+D24-G24</x:f>
        <x:v>153.28180774602995</x:v>
      </x:c>
      <x:c r="I24" s="29">
        <x:f>IF(A24&lt;Supuestos!$B$6,0,E24+0.5*(D24-G24))</x:f>
        <x:v>143.2814154192231</x:v>
      </x:c>
      <x:c r="J24" s="11">
        <x:f>IF(A24&lt;Supuestos!$B$6,0,IF(A24&lt;Supuestos!$B$7,Supuestos!$B$8,Supuestos!$B$9))</x:f>
        <x:v>90</x:v>
      </x:c>
      <x:c r="K24" s="11">
        <x:f>I24*J24</x:f>
        <x:v>12895.327387730078</x:v>
      </x:c>
      <x:c r="L24" s="11">
        <x:f>'Desarrollo'!T12</x:f>
        <x:v>0</x:v>
      </x:c>
      <x:c r="M24" s="11">
        <x:f>INDEX('Operación e Infra'!$B$15:$F$15,1,C24)</x:f>
        <x:v>12800</x:v>
      </x:c>
      <x:c r="N24" s="11">
        <x:f>INDEX('Operación e Infra'!$B$16:$F$16,1,C24)</x:f>
        <x:v>7600</x:v>
      </x:c>
      <x:c r="O24" s="11">
        <x:f>INDEX('Operación e Infra'!$B$17:$F$17,1,C24)</x:f>
        <x:v>1800</x:v>
      </x:c>
      <x:c r="P24" s="11">
        <x:f>H24*INDEX('Operación e Infra'!$B$18:$F$18,1,C24)</x:f>
        <x:v>275.9072539428539</x:v>
      </x:c>
      <x:c r="Q24" s="11">
        <x:f>SUM(L24:P24)</x:f>
        <x:v>22475.907253942853</x:v>
      </x:c>
      <x:c r="R24" s="11">
        <x:f>K24-Q24</x:f>
        <x:v>-9580.579866212775</x:v>
      </x:c>
      <x:c r="S24" s="11">
        <x:f>S23+R24</x:f>
        <x:v>-244702.417179061</x:v>
      </x:c>
      <x:c r="T24" s="10" t="b">
        <x:f>R24&gt;0</x:f>
        <x:v>0</x:v>
      </x:c>
    </x:row>
    <x:row r="25">
      <x:c r="A25" s="10" t="n">
        <x:v>20</x:v>
      </x:c>
      <x:c r="B25" s="10">
        <x:f>ROUNDUP(A25/12,0)</x:f>
        <x:v>2</x:v>
      </x:c>
      <x:c r="C25" s="10">
        <x:f>IF(A25&lt;=4,1,IF(A25&lt;=10,2,IF(A25&lt;=18,3,IF(A25&lt;=24,4,5))))</x:f>
        <x:v>4</x:v>
      </x:c>
      <x:c r="D25" s="23" t="n">
        <x:v>24</x:v>
      </x:c>
      <x:c r="E25" s="10">
        <x:f>H24</x:f>
        <x:v>153.28180774602995</x:v>
      </x:c>
      <x:c r="F25" s="31">
        <x:f>IF(A25&lt;Supuestos!$B$6,0,Supuestos!$B$10)</x:f>
        <x:v>0.015</x:v>
      </x:c>
      <x:c r="G25" s="29">
        <x:f>E25*F25</x:f>
        <x:v>2.2992271161904494</x:v>
      </x:c>
      <x:c r="H25" s="29">
        <x:f>E25+D25-G25</x:f>
        <x:v>174.9825806298395</x:v>
      </x:c>
      <x:c r="I25" s="29">
        <x:f>IF(A25&lt;Supuestos!$B$6,0,E25+0.5*(D25-G25))</x:f>
        <x:v>164.13219418793472</x:v>
      </x:c>
      <x:c r="J25" s="11">
        <x:f>IF(A25&lt;Supuestos!$B$6,0,IF(A25&lt;Supuestos!$B$7,Supuestos!$B$8,Supuestos!$B$9))</x:f>
        <x:v>90</x:v>
      </x:c>
      <x:c r="K25" s="11">
        <x:f>I25*J25</x:f>
        <x:v>14771.897476914124</x:v>
      </x:c>
      <x:c r="L25" s="11">
        <x:f>'Desarrollo'!U12</x:f>
        <x:v>0</x:v>
      </x:c>
      <x:c r="M25" s="11">
        <x:f>INDEX('Operación e Infra'!$B$15:$F$15,1,C25)</x:f>
        <x:v>12800</x:v>
      </x:c>
      <x:c r="N25" s="11">
        <x:f>INDEX('Operación e Infra'!$B$16:$F$16,1,C25)</x:f>
        <x:v>7600</x:v>
      </x:c>
      <x:c r="O25" s="11">
        <x:f>INDEX('Operación e Infra'!$B$17:$F$17,1,C25)</x:f>
        <x:v>1800</x:v>
      </x:c>
      <x:c r="P25" s="11">
        <x:f>H25*INDEX('Operación e Infra'!$B$18:$F$18,1,C25)</x:f>
        <x:v>314.9686451337111</x:v>
      </x:c>
      <x:c r="Q25" s="11">
        <x:f>SUM(L25:P25)</x:f>
        <x:v>22514.96864513371</x:v>
      </x:c>
      <x:c r="R25" s="11">
        <x:f>K25-Q25</x:f>
        <x:v>-7743.071168219587</x:v>
      </x:c>
      <x:c r="S25" s="11">
        <x:f>S24+R25</x:f>
        <x:v>-252445.4883472806</x:v>
      </x:c>
      <x:c r="T25" s="10" t="b">
        <x:f>R25&gt;0</x:f>
        <x:v>0</x:v>
      </x:c>
    </x:row>
    <x:row r="26">
      <x:c r="A26" s="10" t="n">
        <x:v>21</x:v>
      </x:c>
      <x:c r="B26" s="10">
        <x:f>ROUNDUP(A26/12,0)</x:f>
        <x:v>2</x:v>
      </x:c>
      <x:c r="C26" s="10">
        <x:f>IF(A26&lt;=4,1,IF(A26&lt;=10,2,IF(A26&lt;=18,3,IF(A26&lt;=24,4,5))))</x:f>
        <x:v>4</x:v>
      </x:c>
      <x:c r="D26" s="23" t="n">
        <x:v>26</x:v>
      </x:c>
      <x:c r="E26" s="10">
        <x:f>H25</x:f>
        <x:v>174.9825806298395</x:v>
      </x:c>
      <x:c r="F26" s="31">
        <x:f>IF(A26&lt;Supuestos!$B$6,0,Supuestos!$B$10)</x:f>
        <x:v>0.015</x:v>
      </x:c>
      <x:c r="G26" s="29">
        <x:f>E26*F26</x:f>
        <x:v>2.6247387094475925</x:v>
      </x:c>
      <x:c r="H26" s="29">
        <x:f>E26+D26-G26</x:f>
        <x:v>198.3578419203919</x:v>
      </x:c>
      <x:c r="I26" s="29">
        <x:f>IF(A26&lt;Supuestos!$B$6,0,E26+0.5*(D26-G26))</x:f>
        <x:v>186.67021127511572</x:v>
      </x:c>
      <x:c r="J26" s="11">
        <x:f>IF(A26&lt;Supuestos!$B$6,0,IF(A26&lt;Supuestos!$B$7,Supuestos!$B$8,Supuestos!$B$9))</x:f>
        <x:v>90</x:v>
      </x:c>
      <x:c r="K26" s="11">
        <x:f>I26*J26</x:f>
        <x:v>16800.319014760415</x:v>
      </x:c>
      <x:c r="L26" s="11">
        <x:f>'Desarrollo'!V12</x:f>
        <x:v>0</x:v>
      </x:c>
      <x:c r="M26" s="11">
        <x:f>INDEX('Operación e Infra'!$B$15:$F$15,1,C26)</x:f>
        <x:v>12800</x:v>
      </x:c>
      <x:c r="N26" s="11">
        <x:f>INDEX('Operación e Infra'!$B$16:$F$16,1,C26)</x:f>
        <x:v>7600</x:v>
      </x:c>
      <x:c r="O26" s="11">
        <x:f>INDEX('Operación e Infra'!$B$17:$F$17,1,C26)</x:f>
        <x:v>1800</x:v>
      </x:c>
      <x:c r="P26" s="11">
        <x:f>H26*INDEX('Operación e Infra'!$B$18:$F$18,1,C26)</x:f>
        <x:v>357.0441154567054</x:v>
      </x:c>
      <x:c r="Q26" s="11">
        <x:f>SUM(L26:P26)</x:f>
        <x:v>22557.044115456705</x:v>
      </x:c>
      <x:c r="R26" s="11">
        <x:f>K26-Q26</x:f>
        <x:v>-5756.725100696291</x:v>
      </x:c>
      <x:c r="S26" s="11">
        <x:f>S25+R26</x:f>
        <x:v>-258202.2134479769</x:v>
      </x:c>
      <x:c r="T26" s="10" t="b">
        <x:f>R26&gt;0</x:f>
        <x:v>0</x:v>
      </x:c>
    </x:row>
    <x:row r="27">
      <x:c r="A27" s="10" t="n">
        <x:v>22</x:v>
      </x:c>
      <x:c r="B27" s="10">
        <x:f>ROUNDUP(A27/12,0)</x:f>
        <x:v>2</x:v>
      </x:c>
      <x:c r="C27" s="10">
        <x:f>IF(A27&lt;=4,1,IF(A27&lt;=10,2,IF(A27&lt;=18,3,IF(A27&lt;=24,4,5))))</x:f>
        <x:v>4</x:v>
      </x:c>
      <x:c r="D27" s="23" t="n">
        <x:v>28</x:v>
      </x:c>
      <x:c r="E27" s="10">
        <x:f>H26</x:f>
        <x:v>198.3578419203919</x:v>
      </x:c>
      <x:c r="F27" s="31">
        <x:f>IF(A27&lt;Supuestos!$B$6,0,Supuestos!$B$10)</x:f>
        <x:v>0.015</x:v>
      </x:c>
      <x:c r="G27" s="29">
        <x:f>E27*F27</x:f>
        <x:v>2.9753676288058784</x:v>
      </x:c>
      <x:c r="H27" s="29">
        <x:f>E27+D27-G27</x:f>
        <x:v>223.38247429158602</x:v>
      </x:c>
      <x:c r="I27" s="29">
        <x:f>IF(A27&lt;Supuestos!$B$6,0,E27+0.5*(D27-G27))</x:f>
        <x:v>210.87015810598896</x:v>
      </x:c>
      <x:c r="J27" s="11">
        <x:f>IF(A27&lt;Supuestos!$B$6,0,IF(A27&lt;Supuestos!$B$7,Supuestos!$B$8,Supuestos!$B$9))</x:f>
        <x:v>90</x:v>
      </x:c>
      <x:c r="K27" s="11">
        <x:f>I27*J27</x:f>
        <x:v>18978.314229539006</x:v>
      </x:c>
      <x:c r="L27" s="11">
        <x:f>'Desarrollo'!W12</x:f>
        <x:v>0</x:v>
      </x:c>
      <x:c r="M27" s="11">
        <x:f>INDEX('Operación e Infra'!$B$15:$F$15,1,C27)</x:f>
        <x:v>12800</x:v>
      </x:c>
      <x:c r="N27" s="11">
        <x:f>INDEX('Operación e Infra'!$B$16:$F$16,1,C27)</x:f>
        <x:v>7600</x:v>
      </x:c>
      <x:c r="O27" s="11">
        <x:f>INDEX('Operación e Infra'!$B$17:$F$17,1,C27)</x:f>
        <x:v>1800</x:v>
      </x:c>
      <x:c r="P27" s="11">
        <x:f>H27*INDEX('Operación e Infra'!$B$18:$F$18,1,C27)</x:f>
        <x:v>402.08845372485484</x:v>
      </x:c>
      <x:c r="Q27" s="11">
        <x:f>SUM(L27:P27)</x:f>
        <x:v>22602.088453724857</x:v>
      </x:c>
      <x:c r="R27" s="11">
        <x:f>K27-Q27</x:f>
        <x:v>-3623.7742241858505</x:v>
      </x:c>
      <x:c r="S27" s="11">
        <x:f>S26+R27</x:f>
        <x:v>-261825.98767216274</x:v>
      </x:c>
      <x:c r="T27" s="10" t="b">
        <x:f>R27&gt;0</x:f>
        <x:v>0</x:v>
      </x:c>
    </x:row>
    <x:row r="28">
      <x:c r="A28" s="10" t="n">
        <x:v>23</x:v>
      </x:c>
      <x:c r="B28" s="10">
        <x:f>ROUNDUP(A28/12,0)</x:f>
        <x:v>2</x:v>
      </x:c>
      <x:c r="C28" s="10">
        <x:f>IF(A28&lt;=4,1,IF(A28&lt;=10,2,IF(A28&lt;=18,3,IF(A28&lt;=24,4,5))))</x:f>
        <x:v>4</x:v>
      </x:c>
      <x:c r="D28" s="23" t="n">
        <x:v>30</x:v>
      </x:c>
      <x:c r="E28" s="10">
        <x:f>H27</x:f>
        <x:v>223.38247429158602</x:v>
      </x:c>
      <x:c r="F28" s="31">
        <x:f>IF(A28&lt;Supuestos!$B$6,0,Supuestos!$B$10)</x:f>
        <x:v>0.015</x:v>
      </x:c>
      <x:c r="G28" s="29">
        <x:f>E28*F28</x:f>
        <x:v>3.35073711437379</x:v>
      </x:c>
      <x:c r="H28" s="29">
        <x:f>E28+D28-G28</x:f>
        <x:v>250.03173717721222</x:v>
      </x:c>
      <x:c r="I28" s="29">
        <x:f>IF(A28&lt;Supuestos!$B$6,0,E28+0.5*(D28-G28))</x:f>
        <x:v>236.70710573439914</x:v>
      </x:c>
      <x:c r="J28" s="11">
        <x:f>IF(A28&lt;Supuestos!$B$6,0,IF(A28&lt;Supuestos!$B$7,Supuestos!$B$8,Supuestos!$B$9))</x:f>
        <x:v>90</x:v>
      </x:c>
      <x:c r="K28" s="11">
        <x:f>I28*J28</x:f>
        <x:v>21303.639516095922</x:v>
      </x:c>
      <x:c r="L28" s="11">
        <x:f>'Desarrollo'!X12</x:f>
        <x:v>0</x:v>
      </x:c>
      <x:c r="M28" s="11">
        <x:f>INDEX('Operación e Infra'!$B$15:$F$15,1,C28)</x:f>
        <x:v>12800</x:v>
      </x:c>
      <x:c r="N28" s="11">
        <x:f>INDEX('Operación e Infra'!$B$16:$F$16,1,C28)</x:f>
        <x:v>7600</x:v>
      </x:c>
      <x:c r="O28" s="11">
        <x:f>INDEX('Operación e Infra'!$B$17:$F$17,1,C28)</x:f>
        <x:v>1800</x:v>
      </x:c>
      <x:c r="P28" s="11">
        <x:f>H28*INDEX('Operación e Infra'!$B$18:$F$18,1,C28)</x:f>
        <x:v>450.057126918982</x:v>
      </x:c>
      <x:c r="Q28" s="11">
        <x:f>SUM(L28:P28)</x:f>
        <x:v>22650.057126918982</x:v>
      </x:c>
      <x:c r="R28" s="11">
        <x:f>K28-Q28</x:f>
        <x:v>-1346.4176108230604</x:v>
      </x:c>
      <x:c r="S28" s="11">
        <x:f>S27+R28</x:f>
        <x:v>-263172.40528298577</x:v>
      </x:c>
      <x:c r="T28" s="10" t="b">
        <x:f>R28&gt;0</x:f>
        <x:v>0</x:v>
      </x:c>
    </x:row>
    <x:row r="29">
      <x:c r="A29" s="10" t="n">
        <x:v>24</x:v>
      </x:c>
      <x:c r="B29" s="10">
        <x:f>ROUNDUP(A29/12,0)</x:f>
        <x:v>2</x:v>
      </x:c>
      <x:c r="C29" s="10">
        <x:f>IF(A29&lt;=4,1,IF(A29&lt;=10,2,IF(A29&lt;=18,3,IF(A29&lt;=24,4,5))))</x:f>
        <x:v>4</x:v>
      </x:c>
      <x:c r="D29" s="23" t="n">
        <x:v>32</x:v>
      </x:c>
      <x:c r="E29" s="10">
        <x:f>H28</x:f>
        <x:v>250.03173717721222</x:v>
      </x:c>
      <x:c r="F29" s="31">
        <x:f>IF(A29&lt;Supuestos!$B$6,0,Supuestos!$B$10)</x:f>
        <x:v>0.015</x:v>
      </x:c>
      <x:c r="G29" s="29">
        <x:f>E29*F29</x:f>
        <x:v>3.750476057658183</x:v>
      </x:c>
      <x:c r="H29" s="29">
        <x:f>E29+D29-G29</x:f>
        <x:v>278.281261119554</x:v>
      </x:c>
      <x:c r="I29" s="29">
        <x:f>IF(A29&lt;Supuestos!$B$6,0,E29+0.5*(D29-G29))</x:f>
        <x:v>264.15649914838315</x:v>
      </x:c>
      <x:c r="J29" s="11">
        <x:f>IF(A29&lt;Supuestos!$B$6,0,IF(A29&lt;Supuestos!$B$7,Supuestos!$B$8,Supuestos!$B$9))</x:f>
        <x:v>90</x:v>
      </x:c>
      <x:c r="K29" s="11">
        <x:f>I29*J29</x:f>
        <x:v>23774.084923354483</x:v>
      </x:c>
      <x:c r="L29" s="11">
        <x:f>'Desarrollo'!Y12</x:f>
        <x:v>0</x:v>
      </x:c>
      <x:c r="M29" s="11">
        <x:f>INDEX('Operación e Infra'!$B$15:$F$15,1,C29)</x:f>
        <x:v>12800</x:v>
      </x:c>
      <x:c r="N29" s="11">
        <x:f>INDEX('Operación e Infra'!$B$16:$F$16,1,C29)</x:f>
        <x:v>7600</x:v>
      </x:c>
      <x:c r="O29" s="11">
        <x:f>INDEX('Operación e Infra'!$B$17:$F$17,1,C29)</x:f>
        <x:v>1800</x:v>
      </x:c>
      <x:c r="P29" s="11">
        <x:f>H29*INDEX('Operación e Infra'!$B$18:$F$18,1,C29)</x:f>
        <x:v>500.90627001519726</x:v>
      </x:c>
      <x:c r="Q29" s="11">
        <x:f>SUM(L29:P29)</x:f>
        <x:v>22700.9062700152</x:v>
      </x:c>
      <x:c r="R29" s="11">
        <x:f>K29-Q29</x:f>
        <x:v>1073.1786533392842</x:v>
      </x:c>
      <x:c r="S29" s="11">
        <x:f>S28+R29</x:f>
        <x:v>-262099.2266296465</x:v>
      </x:c>
      <x:c r="T29" s="10" t="b">
        <x:f>R29&gt;0</x:f>
        <x:v>1</x:v>
      </x:c>
    </x:row>
    <x:row r="30">
      <x:c r="A30" s="10" t="n">
        <x:v>25</x:v>
      </x:c>
      <x:c r="B30" s="10">
        <x:f>ROUNDUP(A30/12,0)</x:f>
        <x:v>3</x:v>
      </x:c>
      <x:c r="C30" s="10">
        <x:f>IF(A30&lt;=4,1,IF(A30&lt;=10,2,IF(A30&lt;=18,3,IF(A30&lt;=24,4,5))))</x:f>
        <x:v>5</x:v>
      </x:c>
      <x:c r="D30" s="23" t="n">
        <x:v>34</x:v>
      </x:c>
      <x:c r="E30" s="10">
        <x:f>H29</x:f>
        <x:v>278.281261119554</x:v>
      </x:c>
      <x:c r="F30" s="31">
        <x:f>IF(A30&lt;Supuestos!$B$6,0,Supuestos!$B$10)</x:f>
        <x:v>0.015</x:v>
      </x:c>
      <x:c r="G30" s="29">
        <x:f>E30*F30</x:f>
        <x:v>4.17421891679331</x:v>
      </x:c>
      <x:c r="H30" s="29">
        <x:f>E30+D30-G30</x:f>
        <x:v>308.1070422027607</x:v>
      </x:c>
      <x:c r="I30" s="29">
        <x:f>IF(A30&lt;Supuestos!$B$6,0,E30+0.5*(D30-G30))</x:f>
        <x:v>293.1941516611574</x:v>
      </x:c>
      <x:c r="J30" s="11">
        <x:f>IF(A30&lt;Supuestos!$B$6,0,IF(A30&lt;Supuestos!$B$7,Supuestos!$B$8,Supuestos!$B$9))</x:f>
        <x:v>90</x:v>
      </x:c>
      <x:c r="K30" s="11">
        <x:f>I30*J30</x:f>
        <x:v>26387.473649504165</x:v>
      </x:c>
      <x:c r="L30" s="11">
        <x:f>'Desarrollo'!Z12</x:f>
        <x:v>0</x:v>
      </x:c>
      <x:c r="M30" s="11">
        <x:f>INDEX('Operación e Infra'!$B$15:$F$15,1,C30)</x:f>
        <x:v>16100</x:v>
      </x:c>
      <x:c r="N30" s="11">
        <x:f>INDEX('Operación e Infra'!$B$16:$F$16,1,C30)</x:f>
        <x:v>8800</x:v>
      </x:c>
      <x:c r="O30" s="11">
        <x:f>INDEX('Operación e Infra'!$B$17:$F$17,1,C30)</x:f>
        <x:v>2400</x:v>
      </x:c>
      <x:c r="P30" s="11">
        <x:f>H30*INDEX('Operación e Infra'!$B$18:$F$18,1,C30)</x:f>
        <x:v>616.2140844055214</x:v>
      </x:c>
      <x:c r="Q30" s="11">
        <x:f>SUM(L30:P30)</x:f>
        <x:v>27916.21408440552</x:v>
      </x:c>
      <x:c r="R30" s="11">
        <x:f>K30-Q30</x:f>
        <x:v>-1528.740434901356</x:v>
      </x:c>
      <x:c r="S30" s="11">
        <x:f>S29+R30</x:f>
        <x:v>-263627.9670645479</x:v>
      </x:c>
      <x:c r="T30" s="10" t="b">
        <x:f>R30&gt;0</x:f>
        <x:v>0</x:v>
      </x:c>
    </x:row>
    <x:row r="31">
      <x:c r="A31" s="10" t="n">
        <x:v>26</x:v>
      </x:c>
      <x:c r="B31" s="10">
        <x:f>ROUNDUP(A31/12,0)</x:f>
        <x:v>3</x:v>
      </x:c>
      <x:c r="C31" s="10">
        <x:f>IF(A31&lt;=4,1,IF(A31&lt;=10,2,IF(A31&lt;=18,3,IF(A31&lt;=24,4,5))))</x:f>
        <x:v>5</x:v>
      </x:c>
      <x:c r="D31" s="23" t="n">
        <x:v>36</x:v>
      </x:c>
      <x:c r="E31" s="10">
        <x:f>H30</x:f>
        <x:v>308.1070422027607</x:v>
      </x:c>
      <x:c r="F31" s="31">
        <x:f>IF(A31&lt;Supuestos!$B$6,0,Supuestos!$B$10)</x:f>
        <x:v>0.015</x:v>
      </x:c>
      <x:c r="G31" s="29">
        <x:f>E31*F31</x:f>
        <x:v>4.62160563304141</x:v>
      </x:c>
      <x:c r="H31" s="29">
        <x:f>E31+D31-G31</x:f>
        <x:v>339.4854365697193</x:v>
      </x:c>
      <x:c r="I31" s="29">
        <x:f>IF(A31&lt;Supuestos!$B$6,0,E31+0.5*(D31-G31))</x:f>
        <x:v>323.79623938623996</x:v>
      </x:c>
      <x:c r="J31" s="11">
        <x:f>IF(A31&lt;Supuestos!$B$6,0,IF(A31&lt;Supuestos!$B$7,Supuestos!$B$8,Supuestos!$B$9))</x:f>
        <x:v>90</x:v>
      </x:c>
      <x:c r="K31" s="11">
        <x:f>I31*J31</x:f>
        <x:v>29141.661544761595</x:v>
      </x:c>
      <x:c r="L31" s="11">
        <x:f>'Desarrollo'!AA12</x:f>
        <x:v>0</x:v>
      </x:c>
      <x:c r="M31" s="11">
        <x:f>INDEX('Operación e Infra'!$B$15:$F$15,1,C31)</x:f>
        <x:v>16100</x:v>
      </x:c>
      <x:c r="N31" s="11">
        <x:f>INDEX('Operación e Infra'!$B$16:$F$16,1,C31)</x:f>
        <x:v>8800</x:v>
      </x:c>
      <x:c r="O31" s="11">
        <x:f>INDEX('Operación e Infra'!$B$17:$F$17,1,C31)</x:f>
        <x:v>2400</x:v>
      </x:c>
      <x:c r="P31" s="11">
        <x:f>H31*INDEX('Operación e Infra'!$B$18:$F$18,1,C31)</x:f>
        <x:v>678.9708731394386</x:v>
      </x:c>
      <x:c r="Q31" s="11">
        <x:f>SUM(L31:P31)</x:f>
        <x:v>27978.97087313944</x:v>
      </x:c>
      <x:c r="R31" s="11">
        <x:f>K31-Q31</x:f>
        <x:v>1162.6906716221565</x:v>
      </x:c>
      <x:c r="S31" s="11">
        <x:f>S30+R31</x:f>
        <x:v>-262465.2763929257</x:v>
      </x:c>
      <x:c r="T31" s="10" t="b">
        <x:f>R31&gt;0</x:f>
        <x:v>1</x:v>
      </x:c>
    </x:row>
    <x:row r="32">
      <x:c r="A32" s="10" t="n">
        <x:v>27</x:v>
      </x:c>
      <x:c r="B32" s="10">
        <x:f>ROUNDUP(A32/12,0)</x:f>
        <x:v>3</x:v>
      </x:c>
      <x:c r="C32" s="10">
        <x:f>IF(A32&lt;=4,1,IF(A32&lt;=10,2,IF(A32&lt;=18,3,IF(A32&lt;=24,4,5))))</x:f>
        <x:v>5</x:v>
      </x:c>
      <x:c r="D32" s="23" t="n">
        <x:v>38</x:v>
      </x:c>
      <x:c r="E32" s="10">
        <x:f>H31</x:f>
        <x:v>339.4854365697193</x:v>
      </x:c>
      <x:c r="F32" s="31">
        <x:f>IF(A32&lt;Supuestos!$B$6,0,Supuestos!$B$10)</x:f>
        <x:v>0.015</x:v>
      </x:c>
      <x:c r="G32" s="29">
        <x:f>E32*F32</x:f>
        <x:v>5.092281548545789</x:v>
      </x:c>
      <x:c r="H32" s="29">
        <x:f>E32+D32-G32</x:f>
        <x:v>372.3931550211735</x:v>
      </x:c>
      <x:c r="I32" s="29">
        <x:f>IF(A32&lt;Supuestos!$B$6,0,E32+0.5*(D32-G32))</x:f>
        <x:v>355.9392957954464</x:v>
      </x:c>
      <x:c r="J32" s="11">
        <x:f>IF(A32&lt;Supuestos!$B$6,0,IF(A32&lt;Supuestos!$B$7,Supuestos!$B$8,Supuestos!$B$9))</x:f>
        <x:v>90</x:v>
      </x:c>
      <x:c r="K32" s="11">
        <x:f>I32*J32</x:f>
        <x:v>32034.536621590178</x:v>
      </x:c>
      <x:c r="L32" s="11">
        <x:f>'Desarrollo'!AB12</x:f>
        <x:v>0</x:v>
      </x:c>
      <x:c r="M32" s="11">
        <x:f>INDEX('Operación e Infra'!$B$15:$F$15,1,C32)</x:f>
        <x:v>16100</x:v>
      </x:c>
      <x:c r="N32" s="11">
        <x:f>INDEX('Operación e Infra'!$B$16:$F$16,1,C32)</x:f>
        <x:v>8800</x:v>
      </x:c>
      <x:c r="O32" s="11">
        <x:f>INDEX('Operación e Infra'!$B$17:$F$17,1,C32)</x:f>
        <x:v>2400</x:v>
      </x:c>
      <x:c r="P32" s="11">
        <x:f>H32*INDEX('Operación e Infra'!$B$18:$F$18,1,C32)</x:f>
        <x:v>744.786310042347</x:v>
      </x:c>
      <x:c r="Q32" s="11">
        <x:f>SUM(L32:P32)</x:f>
        <x:v>28044.786310042346</x:v>
      </x:c>
      <x:c r="R32" s="11">
        <x:f>K32-Q32</x:f>
        <x:v>3989.750311547832</x:v>
      </x:c>
      <x:c r="S32" s="11">
        <x:f>S31+R32</x:f>
        <x:v>-258475.52608137787</x:v>
      </x:c>
      <x:c r="T32" s="10" t="b">
        <x:f>R32&gt;0</x:f>
        <x:v>1</x:v>
      </x:c>
    </x:row>
    <x:row r="33">
      <x:c r="A33" s="10" t="n">
        <x:v>28</x:v>
      </x:c>
      <x:c r="B33" s="10">
        <x:f>ROUNDUP(A33/12,0)</x:f>
        <x:v>3</x:v>
      </x:c>
      <x:c r="C33" s="10">
        <x:f>IF(A33&lt;=4,1,IF(A33&lt;=10,2,IF(A33&lt;=18,3,IF(A33&lt;=24,4,5))))</x:f>
        <x:v>5</x:v>
      </x:c>
      <x:c r="D33" s="23" t="n">
        <x:v>40</x:v>
      </x:c>
      <x:c r="E33" s="10">
        <x:f>H32</x:f>
        <x:v>372.3931550211735</x:v>
      </x:c>
      <x:c r="F33" s="31">
        <x:f>IF(A33&lt;Supuestos!$B$6,0,Supuestos!$B$10)</x:f>
        <x:v>0.015</x:v>
      </x:c>
      <x:c r="G33" s="29">
        <x:f>E33*F33</x:f>
        <x:v>5.585897325317602</x:v>
      </x:c>
      <x:c r="H33" s="29">
        <x:f>E33+D33-G33</x:f>
        <x:v>406.8072576958559</x:v>
      </x:c>
      <x:c r="I33" s="29">
        <x:f>IF(A33&lt;Supuestos!$B$6,0,E33+0.5*(D33-G33))</x:f>
        <x:v>389.6002063585147</x:v>
      </x:c>
      <x:c r="J33" s="11">
        <x:f>IF(A33&lt;Supuestos!$B$6,0,IF(A33&lt;Supuestos!$B$7,Supuestos!$B$8,Supuestos!$B$9))</x:f>
        <x:v>90</x:v>
      </x:c>
      <x:c r="K33" s="11">
        <x:f>I33*J33</x:f>
        <x:v>35064.01857226632</x:v>
      </x:c>
      <x:c r="L33" s="11">
        <x:f>'Desarrollo'!AC12</x:f>
        <x:v>0</x:v>
      </x:c>
      <x:c r="M33" s="11">
        <x:f>INDEX('Operación e Infra'!$B$15:$F$15,1,C33)</x:f>
        <x:v>16100</x:v>
      </x:c>
      <x:c r="N33" s="11">
        <x:f>INDEX('Operación e Infra'!$B$16:$F$16,1,C33)</x:f>
        <x:v>8800</x:v>
      </x:c>
      <x:c r="O33" s="11">
        <x:f>INDEX('Operación e Infra'!$B$17:$F$17,1,C33)</x:f>
        <x:v>2400</x:v>
      </x:c>
      <x:c r="P33" s="11">
        <x:f>H33*INDEX('Operación e Infra'!$B$18:$F$18,1,C33)</x:f>
        <x:v>813.6145153917118</x:v>
      </x:c>
      <x:c r="Q33" s="11">
        <x:f>SUM(L33:P33)</x:f>
        <x:v>28113.614515391713</x:v>
      </x:c>
      <x:c r="R33" s="11">
        <x:f>K33-Q33</x:f>
        <x:v>6950.4040568746095</x:v>
      </x:c>
      <x:c r="S33" s="11">
        <x:f>S32+R33</x:f>
        <x:v>-251525.12202450327</x:v>
      </x:c>
      <x:c r="T33" s="10" t="b">
        <x:f>R33&gt;0</x:f>
        <x:v>1</x:v>
      </x:c>
    </x:row>
    <x:row r="34">
      <x:c r="A34" s="10" t="n">
        <x:v>29</x:v>
      </x:c>
      <x:c r="B34" s="10">
        <x:f>ROUNDUP(A34/12,0)</x:f>
        <x:v>3</x:v>
      </x:c>
      <x:c r="C34" s="10">
        <x:f>IF(A34&lt;=4,1,IF(A34&lt;=10,2,IF(A34&lt;=18,3,IF(A34&lt;=24,4,5))))</x:f>
        <x:v>5</x:v>
      </x:c>
      <x:c r="D34" s="23" t="n">
        <x:v>42</x:v>
      </x:c>
      <x:c r="E34" s="10">
        <x:f>H33</x:f>
        <x:v>406.8072576958559</x:v>
      </x:c>
      <x:c r="F34" s="31">
        <x:f>IF(A34&lt;Supuestos!$B$6,0,Supuestos!$B$10)</x:f>
        <x:v>0.015</x:v>
      </x:c>
      <x:c r="G34" s="29">
        <x:f>E34*F34</x:f>
        <x:v>6.102108865437839</x:v>
      </x:c>
      <x:c r="H34" s="29">
        <x:f>E34+D34-G34</x:f>
        <x:v>442.70514883041807</x:v>
      </x:c>
      <x:c r="I34" s="29">
        <x:f>IF(A34&lt;Supuestos!$B$6,0,E34+0.5*(D34-G34))</x:f>
        <x:v>424.756203263137</x:v>
      </x:c>
      <x:c r="J34" s="11">
        <x:f>IF(A34&lt;Supuestos!$B$6,0,IF(A34&lt;Supuestos!$B$7,Supuestos!$B$8,Supuestos!$B$9))</x:f>
        <x:v>90</x:v>
      </x:c>
      <x:c r="K34" s="11">
        <x:f>I34*J34</x:f>
        <x:v>38228.058293682334</x:v>
      </x:c>
      <x:c r="L34" s="11">
        <x:f>'Desarrollo'!AD12</x:f>
        <x:v>0</x:v>
      </x:c>
      <x:c r="M34" s="11">
        <x:f>INDEX('Operación e Infra'!$B$15:$F$15,1,C34)</x:f>
        <x:v>16100</x:v>
      </x:c>
      <x:c r="N34" s="11">
        <x:f>INDEX('Operación e Infra'!$B$16:$F$16,1,C34)</x:f>
        <x:v>8800</x:v>
      </x:c>
      <x:c r="O34" s="11">
        <x:f>INDEX('Operación e Infra'!$B$17:$F$17,1,C34)</x:f>
        <x:v>2400</x:v>
      </x:c>
      <x:c r="P34" s="11">
        <x:f>H34*INDEX('Operación e Infra'!$B$18:$F$18,1,C34)</x:f>
        <x:v>885.4102976608361</x:v>
      </x:c>
      <x:c r="Q34" s="11">
        <x:f>SUM(L34:P34)</x:f>
        <x:v>28185.410297660837</x:v>
      </x:c>
      <x:c r="R34" s="11">
        <x:f>K34-Q34</x:f>
        <x:v>10042.647996021497</x:v>
      </x:c>
      <x:c r="S34" s="11">
        <x:f>S33+R34</x:f>
        <x:v>-241482.47402848178</x:v>
      </x:c>
      <x:c r="T34" s="10" t="b">
        <x:f>R34&gt;0</x:f>
        <x:v>1</x:v>
      </x:c>
    </x:row>
    <x:row r="35">
      <x:c r="A35" s="10" t="n">
        <x:v>30</x:v>
      </x:c>
      <x:c r="B35" s="10">
        <x:f>ROUNDUP(A35/12,0)</x:f>
        <x:v>3</x:v>
      </x:c>
      <x:c r="C35" s="10">
        <x:f>IF(A35&lt;=4,1,IF(A35&lt;=10,2,IF(A35&lt;=18,3,IF(A35&lt;=24,4,5))))</x:f>
        <x:v>5</x:v>
      </x:c>
      <x:c r="D35" s="23" t="n">
        <x:v>45</x:v>
      </x:c>
      <x:c r="E35" s="10">
        <x:f>H34</x:f>
        <x:v>442.70514883041807</x:v>
      </x:c>
      <x:c r="F35" s="31">
        <x:f>IF(A35&lt;Supuestos!$B$6,0,Supuestos!$B$10)</x:f>
        <x:v>0.015</x:v>
      </x:c>
      <x:c r="G35" s="29">
        <x:f>E35*F35</x:f>
        <x:v>6.640577232456271</x:v>
      </x:c>
      <x:c r="H35" s="29">
        <x:f>E35+D35-G35</x:f>
        <x:v>481.0645715979618</x:v>
      </x:c>
      <x:c r="I35" s="29">
        <x:f>IF(A35&lt;Supuestos!$B$6,0,E35+0.5*(D35-G35))</x:f>
        <x:v>461.8848602141899</x:v>
      </x:c>
      <x:c r="J35" s="11">
        <x:f>IF(A35&lt;Supuestos!$B$6,0,IF(A35&lt;Supuestos!$B$7,Supuestos!$B$8,Supuestos!$B$9))</x:f>
        <x:v>90</x:v>
      </x:c>
      <x:c r="K35" s="11">
        <x:f>I35*J35</x:f>
        <x:v>41569.637419277096</x:v>
      </x:c>
      <x:c r="L35" s="11">
        <x:f>'Desarrollo'!AE12</x:f>
        <x:v>0</x:v>
      </x:c>
      <x:c r="M35" s="11">
        <x:f>INDEX('Operación e Infra'!$B$15:$F$15,1,C35)</x:f>
        <x:v>16100</x:v>
      </x:c>
      <x:c r="N35" s="11">
        <x:f>INDEX('Operación e Infra'!$B$16:$F$16,1,C35)</x:f>
        <x:v>8800</x:v>
      </x:c>
      <x:c r="O35" s="11">
        <x:f>INDEX('Operación e Infra'!$B$17:$F$17,1,C35)</x:f>
        <x:v>2400</x:v>
      </x:c>
      <x:c r="P35" s="11">
        <x:f>H35*INDEX('Operación e Infra'!$B$18:$F$18,1,C35)</x:f>
        <x:v>962.1291431959236</x:v>
      </x:c>
      <x:c r="Q35" s="11">
        <x:f>SUM(L35:P35)</x:f>
        <x:v>28262.129143195925</x:v>
      </x:c>
      <x:c r="R35" s="11">
        <x:f>K35-Q35</x:f>
        <x:v>13307.508276081171</x:v>
      </x:c>
      <x:c r="S35" s="11">
        <x:f>S34+R35</x:f>
        <x:v>-228174.9657524006</x:v>
      </x:c>
      <x:c r="T35" s="10" t="b">
        <x:f>R35&gt;0</x:f>
        <x:v>1</x:v>
      </x:c>
    </x:row>
    <x:row r="36">
      <x:c r="A36" s="10" t="n">
        <x:v>31</x:v>
      </x:c>
      <x:c r="B36" s="10">
        <x:f>ROUNDUP(A36/12,0)</x:f>
        <x:v>3</x:v>
      </x:c>
      <x:c r="C36" s="10">
        <x:f>IF(A36&lt;=4,1,IF(A36&lt;=10,2,IF(A36&lt;=18,3,IF(A36&lt;=24,4,5))))</x:f>
        <x:v>5</x:v>
      </x:c>
      <x:c r="D36" s="23" t="n">
        <x:v>48</x:v>
      </x:c>
      <x:c r="E36" s="10">
        <x:f>H35</x:f>
        <x:v>481.0645715979618</x:v>
      </x:c>
      <x:c r="F36" s="31">
        <x:f>IF(A36&lt;Supuestos!$B$6,0,Supuestos!$B$10)</x:f>
        <x:v>0.015</x:v>
      </x:c>
      <x:c r="G36" s="29">
        <x:f>E36*F36</x:f>
        <x:v>7.215968573969427</x:v>
      </x:c>
      <x:c r="H36" s="29">
        <x:f>E36+D36-G36</x:f>
        <x:v>521.8486030239923</x:v>
      </x:c>
      <x:c r="I36" s="29">
        <x:f>IF(A36&lt;Supuestos!$B$6,0,E36+0.5*(D36-G36))</x:f>
        <x:v>501.45658731097706</x:v>
      </x:c>
      <x:c r="J36" s="11">
        <x:f>IF(A36&lt;Supuestos!$B$6,0,IF(A36&lt;Supuestos!$B$7,Supuestos!$B$8,Supuestos!$B$9))</x:f>
        <x:v>90</x:v>
      </x:c>
      <x:c r="K36" s="11">
        <x:f>I36*J36</x:f>
        <x:v>45131.09285798793</x:v>
      </x:c>
      <x:c r="L36" s="11">
        <x:f>'Desarrollo'!AF12</x:f>
        <x:v>0</x:v>
      </x:c>
      <x:c r="M36" s="11">
        <x:f>INDEX('Operación e Infra'!$B$15:$F$15,1,C36)</x:f>
        <x:v>16100</x:v>
      </x:c>
      <x:c r="N36" s="11">
        <x:f>INDEX('Operación e Infra'!$B$16:$F$16,1,C36)</x:f>
        <x:v>8800</x:v>
      </x:c>
      <x:c r="O36" s="11">
        <x:f>INDEX('Operación e Infra'!$B$17:$F$17,1,C36)</x:f>
        <x:v>2400</x:v>
      </x:c>
      <x:c r="P36" s="11">
        <x:f>H36*INDEX('Operación e Infra'!$B$18:$F$18,1,C36)</x:f>
        <x:v>1043.6972060479845</x:v>
      </x:c>
      <x:c r="Q36" s="11">
        <x:f>SUM(L36:P36)</x:f>
        <x:v>28343.697206047986</x:v>
      </x:c>
      <x:c r="R36" s="11">
        <x:f>K36-Q36</x:f>
        <x:v>16787.395651939947</x:v>
      </x:c>
      <x:c r="S36" s="11">
        <x:f>S35+R36</x:f>
        <x:v>-211387.57010046067</x:v>
      </x:c>
      <x:c r="T36" s="10" t="b">
        <x:f>R36&gt;0</x:f>
        <x:v>1</x:v>
      </x:c>
    </x:row>
    <x:row r="37">
      <x:c r="A37" s="10" t="n">
        <x:v>32</x:v>
      </x:c>
      <x:c r="B37" s="10">
        <x:f>ROUNDUP(A37/12,0)</x:f>
        <x:v>3</x:v>
      </x:c>
      <x:c r="C37" s="10">
        <x:f>IF(A37&lt;=4,1,IF(A37&lt;=10,2,IF(A37&lt;=18,3,IF(A37&lt;=24,4,5))))</x:f>
        <x:v>5</x:v>
      </x:c>
      <x:c r="D37" s="23" t="n">
        <x:v>50</x:v>
      </x:c>
      <x:c r="E37" s="10">
        <x:f>H36</x:f>
        <x:v>521.8486030239923</x:v>
      </x:c>
      <x:c r="F37" s="31">
        <x:f>IF(A37&lt;Supuestos!$B$6,0,Supuestos!$B$10)</x:f>
        <x:v>0.015</x:v>
      </x:c>
      <x:c r="G37" s="29">
        <x:f>E37*F37</x:f>
        <x:v>7.827729045359884</x:v>
      </x:c>
      <x:c r="H37" s="29">
        <x:f>E37+D37-G37</x:f>
        <x:v>564.0208739786324</x:v>
      </x:c>
      <x:c r="I37" s="29">
        <x:f>IF(A37&lt;Supuestos!$B$6,0,E37+0.5*(D37-G37))</x:f>
        <x:v>542.9347385013124</x:v>
      </x:c>
      <x:c r="J37" s="11">
        <x:f>IF(A37&lt;Supuestos!$B$6,0,IF(A37&lt;Supuestos!$B$7,Supuestos!$B$8,Supuestos!$B$9))</x:f>
        <x:v>90</x:v>
      </x:c>
      <x:c r="K37" s="11">
        <x:f>I37*J37</x:f>
        <x:v>48864.12646511811</x:v>
      </x:c>
      <x:c r="L37" s="11">
        <x:f>'Desarrollo'!AG12</x:f>
        <x:v>0</x:v>
      </x:c>
      <x:c r="M37" s="11">
        <x:f>INDEX('Operación e Infra'!$B$15:$F$15,1,C37)</x:f>
        <x:v>16100</x:v>
      </x:c>
      <x:c r="N37" s="11">
        <x:f>INDEX('Operación e Infra'!$B$16:$F$16,1,C37)</x:f>
        <x:v>8800</x:v>
      </x:c>
      <x:c r="O37" s="11">
        <x:f>INDEX('Operación e Infra'!$B$17:$F$17,1,C37)</x:f>
        <x:v>2400</x:v>
      </x:c>
      <x:c r="P37" s="11">
        <x:f>H37*INDEX('Operación e Infra'!$B$18:$F$18,1,C37)</x:f>
        <x:v>1128.0417479572648</x:v>
      </x:c>
      <x:c r="Q37" s="11">
        <x:f>SUM(L37:P37)</x:f>
        <x:v>28428.041747957264</x:v>
      </x:c>
      <x:c r="R37" s="11">
        <x:f>K37-Q37</x:f>
        <x:v>20436.084717160848</x:v>
      </x:c>
      <x:c r="S37" s="11">
        <x:f>S36+R37</x:f>
        <x:v>-190951.48538329982</x:v>
      </x:c>
      <x:c r="T37" s="10" t="b">
        <x:f>R37&gt;0</x:f>
        <x:v>1</x:v>
      </x:c>
    </x:row>
    <x:row r="38">
      <x:c r="A38" s="10" t="n">
        <x:v>33</x:v>
      </x:c>
      <x:c r="B38" s="10">
        <x:f>ROUNDUP(A38/12,0)</x:f>
        <x:v>3</x:v>
      </x:c>
      <x:c r="C38" s="10">
        <x:f>IF(A38&lt;=4,1,IF(A38&lt;=10,2,IF(A38&lt;=18,3,IF(A38&lt;=24,4,5))))</x:f>
        <x:v>5</x:v>
      </x:c>
      <x:c r="D38" s="23" t="n">
        <x:v>52</x:v>
      </x:c>
      <x:c r="E38" s="10">
        <x:f>H37</x:f>
        <x:v>564.0208739786324</x:v>
      </x:c>
      <x:c r="F38" s="31">
        <x:f>IF(A38&lt;Supuestos!$B$6,0,Supuestos!$B$10)</x:f>
        <x:v>0.015</x:v>
      </x:c>
      <x:c r="G38" s="29">
        <x:f>E38*F38</x:f>
        <x:v>8.460313109679486</x:v>
      </x:c>
      <x:c r="H38" s="29">
        <x:f>E38+D38-G38</x:f>
        <x:v>607.5605608689528</x:v>
      </x:c>
      <x:c r="I38" s="29">
        <x:f>IF(A38&lt;Supuestos!$B$6,0,E38+0.5*(D38-G38))</x:f>
        <x:v>585.7907174237927</x:v>
      </x:c>
      <x:c r="J38" s="11">
        <x:f>IF(A38&lt;Supuestos!$B$6,0,IF(A38&lt;Supuestos!$B$7,Supuestos!$B$8,Supuestos!$B$9))</x:f>
        <x:v>90</x:v>
      </x:c>
      <x:c r="K38" s="11">
        <x:f>I38*J38</x:f>
        <x:v>52721.16456814134</x:v>
      </x:c>
      <x:c r="L38" s="11">
        <x:f>'Desarrollo'!AH12</x:f>
        <x:v>0</x:v>
      </x:c>
      <x:c r="M38" s="11">
        <x:f>INDEX('Operación e Infra'!$B$15:$F$15,1,C38)</x:f>
        <x:v>16100</x:v>
      </x:c>
      <x:c r="N38" s="11">
        <x:f>INDEX('Operación e Infra'!$B$16:$F$16,1,C38)</x:f>
        <x:v>8800</x:v>
      </x:c>
      <x:c r="O38" s="11">
        <x:f>INDEX('Operación e Infra'!$B$17:$F$17,1,C38)</x:f>
        <x:v>2400</x:v>
      </x:c>
      <x:c r="P38" s="11">
        <x:f>H38*INDEX('Operación e Infra'!$B$18:$F$18,1,C38)</x:f>
        <x:v>1215.1211217379057</x:v>
      </x:c>
      <x:c r="Q38" s="11">
        <x:f>SUM(L38:P38)</x:f>
        <x:v>28515.121121737906</x:v>
      </x:c>
      <x:c r="R38" s="11">
        <x:f>K38-Q38</x:f>
        <x:v>24206.043446403437</x:v>
      </x:c>
      <x:c r="S38" s="11">
        <x:f>S37+R38</x:f>
        <x:v>-166745.4419368964</x:v>
      </x:c>
      <x:c r="T38" s="10" t="b">
        <x:f>R38&gt;0</x:f>
        <x:v>1</x:v>
      </x:c>
    </x:row>
    <x:row r="39">
      <x:c r="A39" s="10" t="n">
        <x:v>34</x:v>
      </x:c>
      <x:c r="B39" s="10">
        <x:f>ROUNDUP(A39/12,0)</x:f>
        <x:v>3</x:v>
      </x:c>
      <x:c r="C39" s="10">
        <x:f>IF(A39&lt;=4,1,IF(A39&lt;=10,2,IF(A39&lt;=18,3,IF(A39&lt;=24,4,5))))</x:f>
        <x:v>5</x:v>
      </x:c>
      <x:c r="D39" s="23" t="n">
        <x:v>55</x:v>
      </x:c>
      <x:c r="E39" s="10">
        <x:f>H38</x:f>
        <x:v>607.5605608689528</x:v>
      </x:c>
      <x:c r="F39" s="31">
        <x:f>IF(A39&lt;Supuestos!$B$6,0,Supuestos!$B$10)</x:f>
        <x:v>0.015</x:v>
      </x:c>
      <x:c r="G39" s="29">
        <x:f>E39*F39</x:f>
        <x:v>9.113408413034293</x:v>
      </x:c>
      <x:c r="H39" s="29">
        <x:f>E39+D39-G39</x:f>
        <x:v>653.4471524559185</x:v>
      </x:c>
      <x:c r="I39" s="29">
        <x:f>IF(A39&lt;Supuestos!$B$6,0,E39+0.5*(D39-G39))</x:f>
        <x:v>630.5038566624357</x:v>
      </x:c>
      <x:c r="J39" s="11">
        <x:f>IF(A39&lt;Supuestos!$B$6,0,IF(A39&lt;Supuestos!$B$7,Supuestos!$B$8,Supuestos!$B$9))</x:f>
        <x:v>90</x:v>
      </x:c>
      <x:c r="K39" s="11">
        <x:f>I39*J39</x:f>
        <x:v>56745.34709961922</x:v>
      </x:c>
      <x:c r="L39" s="11">
        <x:f>'Desarrollo'!AI12</x:f>
        <x:v>0</x:v>
      </x:c>
      <x:c r="M39" s="11">
        <x:f>INDEX('Operación e Infra'!$B$15:$F$15,1,C39)</x:f>
        <x:v>16100</x:v>
      </x:c>
      <x:c r="N39" s="11">
        <x:f>INDEX('Operación e Infra'!$B$16:$F$16,1,C39)</x:f>
        <x:v>8800</x:v>
      </x:c>
      <x:c r="O39" s="11">
        <x:f>INDEX('Operación e Infra'!$B$17:$F$17,1,C39)</x:f>
        <x:v>2400</x:v>
      </x:c>
      <x:c r="P39" s="11">
        <x:f>H39*INDEX('Operación e Infra'!$B$18:$F$18,1,C39)</x:f>
        <x:v>1306.894304911837</x:v>
      </x:c>
      <x:c r="Q39" s="11">
        <x:f>SUM(L39:P39)</x:f>
        <x:v>28606.89430491184</x:v>
      </x:c>
      <x:c r="R39" s="11">
        <x:f>K39-Q39</x:f>
        <x:v>28138.45279470738</x:v>
      </x:c>
      <x:c r="S39" s="11">
        <x:f>S38+R39</x:f>
        <x:v>-138606.989142189</x:v>
      </x:c>
      <x:c r="T39" s="10" t="b">
        <x:f>R39&gt;0</x:f>
        <x:v>1</x:v>
      </x:c>
    </x:row>
    <x:row r="40">
      <x:c r="A40" s="10" t="n">
        <x:v>35</x:v>
      </x:c>
      <x:c r="B40" s="10">
        <x:f>ROUNDUP(A40/12,0)</x:f>
        <x:v>3</x:v>
      </x:c>
      <x:c r="C40" s="10">
        <x:f>IF(A40&lt;=4,1,IF(A40&lt;=10,2,IF(A40&lt;=18,3,IF(A40&lt;=24,4,5))))</x:f>
        <x:v>5</x:v>
      </x:c>
      <x:c r="D40" s="23" t="n">
        <x:v>58</x:v>
      </x:c>
      <x:c r="E40" s="10">
        <x:f>H39</x:f>
        <x:v>653.4471524559185</x:v>
      </x:c>
      <x:c r="F40" s="31">
        <x:f>IF(A40&lt;Supuestos!$B$6,0,Supuestos!$B$10)</x:f>
        <x:v>0.015</x:v>
      </x:c>
      <x:c r="G40" s="29">
        <x:f>E40*F40</x:f>
        <x:v>9.801707286838777</x:v>
      </x:c>
      <x:c r="H40" s="29">
        <x:f>E40+D40-G40</x:f>
        <x:v>701.6454451690797</x:v>
      </x:c>
      <x:c r="I40" s="29">
        <x:f>IF(A40&lt;Supuestos!$B$6,0,E40+0.5*(D40-G40))</x:f>
        <x:v>677.5462988124991</x:v>
      </x:c>
      <x:c r="J40" s="11">
        <x:f>IF(A40&lt;Supuestos!$B$6,0,IF(A40&lt;Supuestos!$B$7,Supuestos!$B$8,Supuestos!$B$9))</x:f>
        <x:v>90</x:v>
      </x:c>
      <x:c r="K40" s="11">
        <x:f>I40*J40</x:f>
        <x:v>60979.16689312492</x:v>
      </x:c>
      <x:c r="L40" s="11">
        <x:f>'Desarrollo'!AJ12</x:f>
        <x:v>0</x:v>
      </x:c>
      <x:c r="M40" s="11">
        <x:f>INDEX('Operación e Infra'!$B$15:$F$15,1,C40)</x:f>
        <x:v>16100</x:v>
      </x:c>
      <x:c r="N40" s="11">
        <x:f>INDEX('Operación e Infra'!$B$16:$F$16,1,C40)</x:f>
        <x:v>8800</x:v>
      </x:c>
      <x:c r="O40" s="11">
        <x:f>INDEX('Operación e Infra'!$B$17:$F$17,1,C40)</x:f>
        <x:v>2400</x:v>
      </x:c>
      <x:c r="P40" s="11">
        <x:f>H40*INDEX('Operación e Infra'!$B$18:$F$18,1,C40)</x:f>
        <x:v>1403.2908903381594</x:v>
      </x:c>
      <x:c r="Q40" s="11">
        <x:f>SUM(L40:P40)</x:f>
        <x:v>28703.29089033816</x:v>
      </x:c>
      <x:c r="R40" s="11">
        <x:f>K40-Q40</x:f>
        <x:v>32275.87600278676</x:v>
      </x:c>
      <x:c r="S40" s="11">
        <x:f>S39+R40</x:f>
        <x:v>-106331.11313940224</x:v>
      </x:c>
      <x:c r="T40" s="10" t="b">
        <x:f>R40&gt;0</x:f>
        <x:v>1</x:v>
      </x:c>
    </x:row>
    <x:row r="41">
      <x:c r="A41" s="10" t="n">
        <x:v>36</x:v>
      </x:c>
      <x:c r="B41" s="10">
        <x:f>ROUNDUP(A41/12,0)</x:f>
        <x:v>3</x:v>
      </x:c>
      <x:c r="C41" s="10">
        <x:f>IF(A41&lt;=4,1,IF(A41&lt;=10,2,IF(A41&lt;=18,3,IF(A41&lt;=24,4,5))))</x:f>
        <x:v>5</x:v>
      </x:c>
      <x:c r="D41" s="23" t="n">
        <x:v>60</x:v>
      </x:c>
      <x:c r="E41" s="10">
        <x:f>H40</x:f>
        <x:v>701.6454451690797</x:v>
      </x:c>
      <x:c r="F41" s="31">
        <x:f>IF(A41&lt;Supuestos!$B$6,0,Supuestos!$B$10)</x:f>
        <x:v>0.015</x:v>
      </x:c>
      <x:c r="G41" s="29">
        <x:f>E41*F41</x:f>
        <x:v>10.524681677536195</x:v>
      </x:c>
      <x:c r="H41" s="29">
        <x:f>E41+D41-G41</x:f>
        <x:v>751.1207634915435</x:v>
      </x:c>
      <x:c r="I41" s="29">
        <x:f>IF(A41&lt;Supuestos!$B$6,0,E41+0.5*(D41-G41))</x:f>
        <x:v>726.3831043303117</x:v>
      </x:c>
      <x:c r="J41" s="11">
        <x:f>IF(A41&lt;Supuestos!$B$6,0,IF(A41&lt;Supuestos!$B$7,Supuestos!$B$8,Supuestos!$B$9))</x:f>
        <x:v>90</x:v>
      </x:c>
      <x:c r="K41" s="11">
        <x:f>I41*J41</x:f>
        <x:v>65374.47938972805</x:v>
      </x:c>
      <x:c r="L41" s="11">
        <x:f>'Desarrollo'!AK12</x:f>
        <x:v>0</x:v>
      </x:c>
      <x:c r="M41" s="11">
        <x:f>INDEX('Operación e Infra'!$B$15:$F$15,1,C41)</x:f>
        <x:v>16100</x:v>
      </x:c>
      <x:c r="N41" s="11">
        <x:f>INDEX('Operación e Infra'!$B$16:$F$16,1,C41)</x:f>
        <x:v>8800</x:v>
      </x:c>
      <x:c r="O41" s="11">
        <x:f>INDEX('Operación e Infra'!$B$17:$F$17,1,C41)</x:f>
        <x:v>2400</x:v>
      </x:c>
      <x:c r="P41" s="11">
        <x:f>H41*INDEX('Operación e Infra'!$B$18:$F$18,1,C41)</x:f>
        <x:v>1502.241526983087</x:v>
      </x:c>
      <x:c r="Q41" s="11">
        <x:f>SUM(L41:P41)</x:f>
        <x:v>28802.241526983085</x:v>
      </x:c>
      <x:c r="R41" s="11">
        <x:f>K41-Q41</x:f>
        <x:v>36572.237862744965</x:v>
      </x:c>
      <x:c r="S41" s="11">
        <x:f>S40+R41</x:f>
        <x:v>-69758.87527665727</x:v>
      </x:c>
      <x:c r="T41" s="10" t="b">
        <x:f>R41&gt;0</x:f>
        <x:v>1</x:v>
      </x:c>
    </x:row>
    <x:row r="42">
      <x:c r="A42" s="25" t="inlineStr">
        <x:is>
          <x:t xml:space="preserve">Totales / cierre</x:t>
        </x:is>
      </x:c>
      <x:c r="B42" s="25" t="n"/>
      <x:c r="C42" s="25" t="n"/>
      <x:c r="D42" s="32">
        <x:f>SUM(D6:D41)</x:f>
        <x:v>862</x:v>
      </x:c>
      <x:c r="E42" s="25" t="n"/>
      <x:c r="F42" s="25" t="n"/>
      <x:c r="G42" s="32">
        <x:f>SUM(G6:G41)</x:f>
        <x:v>110.87923650845623</x:v>
      </x:c>
      <x:c r="H42" s="32">
        <x:f>H41</x:f>
        <x:v>751.1207634915435</x:v>
      </x:c>
      <x:c r="I42" s="32">
        <x:f>I41</x:f>
        <x:v>726.3831043303117</x:v>
      </x:c>
      <x:c r="J42" s="27" t="n"/>
      <x:c r="K42" s="27">
        <x:f>SUM(K6:K41)</x:f>
        <x:v>695935.1442426292</x:v>
      </x:c>
      <x:c r="L42" s="27">
        <x:f>SUM(L6:L41)</x:f>
        <x:v>94143.75</x:v>
      </x:c>
      <x:c r="M42" s="27">
        <x:f>SUM(M6:M41)</x:f>
        <x:v>406800</x:v>
      </x:c>
      <x:c r="N42" s="27">
        <x:f>SUM(N6:N41)</x:f>
        <x:v>189100</x:v>
      </x:c>
      <x:c r="O42" s="27">
        <x:f>SUM(O6:O41)</x:f>
        <x:v>60000</x:v>
      </x:c>
      <x:c r="P42" s="27">
        <x:f>SUM(P6:P41)</x:f>
        <x:v>15650.26951928647</x:v>
      </x:c>
      <x:c r="Q42" s="27">
        <x:f>SUM(Q6:Q41)</x:f>
        <x:v>765694.0195192863</x:v>
      </x:c>
      <x:c r="R42" s="27">
        <x:f>SUM(R6:R41)</x:f>
        <x:v>-69758.87527665727</x:v>
      </x:c>
      <x:c r="S42" s="27">
        <x:f>S41</x:f>
        <x:v>-69758.87527665727</x:v>
      </x:c>
      <x:c r="T42" s="25" t="n"/>
    </x:row>
    <x:row r="44">
      <x:c r="A44" s="13" t="inlineStr">
        <x:is>
          <x:t xml:space="preserve">Supuesto de captación editable: modifica la columna D para recalcular todo el plan.</x:t>
        </x:is>
      </x:c>
    </x:row>
  </x:sheetData>
  <x:mergeCells>
    <x:mergeCell ref="A1:T1"/>
    <x:mergeCell ref="A44:F44"/>
    <x:mergeCell ref="A3:T3"/>
  </x:mergeCells>
  <x:pageMargins left="0.7" right="0.7" top="0.75" bottom="0.75" header="0.3" footer="0.3"/>
</x:worksheet>
</file>