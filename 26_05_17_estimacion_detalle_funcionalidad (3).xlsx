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fg/Proyectos/Cotizaciones/Agroapp/26_05_17_estimacion/"/>
    </mc:Choice>
  </mc:AlternateContent>
  <xr:revisionPtr revIDLastSave="0" documentId="13_ncr:1_{A7C7A19E-7F16-2744-AEBD-9C3FDCE53A94}" xr6:coauthVersionLast="47" xr6:coauthVersionMax="47" xr10:uidLastSave="{00000000-0000-0000-0000-000000000000}"/>
  <bookViews>
    <workbookView xWindow="0" yWindow="660" windowWidth="30240" windowHeight="18980" activeTab="1" xr2:uid="{D6A81BB1-BBE3-3943-AE8A-00F216735E6D}"/>
  </bookViews>
  <sheets>
    <sheet name="Estimacion por Tarea_Funcionali" sheetId="1" r:id="rId1"/>
    <sheet name="Resum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8" i="2" s="1"/>
  <c r="B7" i="2"/>
  <c r="C7" i="2" s="1"/>
  <c r="B6" i="2"/>
  <c r="C6" i="2" s="1"/>
  <c r="B5" i="2"/>
  <c r="C5" i="2" s="1"/>
  <c r="C9" i="2" l="1"/>
  <c r="B9" i="2"/>
</calcChain>
</file>

<file path=xl/sharedStrings.xml><?xml version="1.0" encoding="utf-8"?>
<sst xmlns="http://schemas.openxmlformats.org/spreadsheetml/2006/main" count="623" uniqueCount="339">
  <si>
    <t>Actividad</t>
  </si>
  <si>
    <t>Tarea</t>
  </si>
  <si>
    <t>Funcionalidad</t>
  </si>
  <si>
    <t>Descripción</t>
  </si>
  <si>
    <t>BASICA (incluida en version gratuita GOB)</t>
  </si>
  <si>
    <t>BASICA (deseable)</t>
  </si>
  <si>
    <t>PREMIUM</t>
  </si>
  <si>
    <t>ADD-ONs</t>
  </si>
  <si>
    <t>HH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</si>
  <si>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</si>
  <si>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</si>
  <si>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</si>
  <si>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</si>
  <si>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</si>
  <si>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</si>
  <si>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</si>
  <si>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</si>
  <si>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</si>
  <si>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</si>
  <si>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Gestión y definición del proyecto</t>
  </si>
  <si>
    <t>Kickoff, gobierno del proyecto y metodología de trabajo</t>
  </si>
  <si>
    <t>Instalación del proyecto, definición de responsables, rituales de seguimiento, canales de comunicación, criterios de avance y control de cambios.</t>
  </si>
  <si>
    <t>X</t>
  </si>
  <si>
    <t>Levantamiento de procesos y fuentes de información</t>
  </si>
  <si>
    <t>Levantamiento funcional de procesos agrícolas, ganaderos, administrativos y financieros; identificación de fuentes, documentos, reportes y brechas.</t>
  </si>
  <si>
    <t>Definición de alcance, backlog y criterios de aceptación</t>
  </si>
  <si>
    <t>Priorización del MVP, definición de historias de usuario, criterios de aceptación y roadmap de evolución por planes.</t>
  </si>
  <si>
    <t>UX/UI y prototipado</t>
  </si>
  <si>
    <t>Definición de lineamientos visuales y design system</t>
  </si>
  <si>
    <t>Definición de paleta, componentes UI, tablas, formularios, tarjetas, KPIs, mapas esquemáticos y criterios responsive.</t>
  </si>
  <si>
    <t>Wireframes y mockups navegables de alto nivel</t>
  </si>
  <si>
    <t>Diseño de flujos principales para login, dashboard, agricultura, ganadería, administración, analítica, reportería y navegación de tres niveles.</t>
  </si>
  <si>
    <t>Arquitectura técnica y preparación de entornos</t>
  </si>
  <si>
    <t>Definición de arquitectura lógica y tecnológica</t>
  </si>
  <si>
    <t>Diseño de arquitectura web, capas de frontend/backend/API, patrones de integración, logging, auditoría, despliegue y seguridad base.</t>
  </si>
  <si>
    <t>Diseño de modelo de datos base agro-ganadero</t>
  </si>
  <si>
    <t>Modelo entidad-relación base para explotaciones, usuarios, parcelas, animales, movimientos, actividades, documentos, catálogos y trazabilidad.</t>
  </si>
  <si>
    <t>Configuración de repositorios, ambientes y CI/CD básica</t>
  </si>
  <si>
    <t>Configuración de entornos dev/test/demo, repositorios, pipelines de build/deploy, variables de entorno y backups iniciales.</t>
  </si>
  <si>
    <t>Core plataforma web</t>
  </si>
  <si>
    <t>Implementación de login y autenticación</t>
  </si>
  <si>
    <t>Desarrollo de autenticación, recuperación de contraseña, sesiones, seguridad API y base para gestión de acceso.</t>
  </si>
  <si>
    <t>Gestión base de usuarios, perfiles y permisos</t>
  </si>
  <si>
    <t>Modelo y pantallas base de usuarios, perfiles administrador/editor/lector, permisos iniciales y asociación a explotaciones.</t>
  </si>
  <si>
    <t>Layout general, navegación de tres niveles y responsive</t>
  </si>
  <si>
    <t>Implementación de estructura visual web con menú superior, barra lateral, submenú contextual, breadcrumb y adaptación a escritorio/tablet/móvil.</t>
  </si>
  <si>
    <t>QA y estabilización MVP</t>
  </si>
  <si>
    <t>Plan de pruebas MVP y matriz de cobertura</t>
  </si>
  <si>
    <t>Definición de estrategia de pruebas del MVP, matriz de cobertura por módulo, datos de prueba, criterios de aceptación y priorización de incidencias.</t>
  </si>
  <si>
    <t>Pruebas funcionales, regresión y corrección de bugs del MVP</t>
  </si>
  <si>
    <t>Ejecución de pruebas funcionales del MVP, validación de flujos críticos, registro de incidencias, regresión y soporte a correcciones.</t>
  </si>
  <si>
    <t>UAT piloto MVP y estabilización para salida controlada</t>
  </si>
  <si>
    <t>Pruebas con usuarios piloto, consolidación de feedback, ajustes de estabilización, revisión de documentación y checklist para liberación del MVP.</t>
  </si>
  <si>
    <t>Funcionalidades - Explotaciones</t>
  </si>
  <si>
    <t>Desarrollo de Funcionalidad:</t>
  </si>
  <si>
    <t>Listado Explotaciones (Agricultura)</t>
  </si>
  <si>
    <t>Listado, búsqueda, alta y administración de explotaciones, con segmentación por tipo y acceso a ficha operativa.</t>
  </si>
  <si>
    <t>Listado Explotaciones (Ganadería)</t>
  </si>
  <si>
    <t>Funcionalidades - Datos de la Explotación</t>
  </si>
  <si>
    <t>Datos generales (explotacion) (Agricultura)</t>
  </si>
  <si>
    <t>Desarrollo de módulo agrícola para registrar, consultar, editar, validar y exportar la información asociada a Datos generales (explotacion).</t>
  </si>
  <si>
    <t>Datos generales (explotacion) (Ganadería)</t>
  </si>
  <si>
    <t>Desarrollo de módulo ganadero para registrar, consultar, editar, validar y exportar la información asociada a Datos generales (explotacion).</t>
  </si>
  <si>
    <t>Empleados (Agricultura)</t>
  </si>
  <si>
    <t>Desarrollo de módulo agrícola para registrar, consultar, editar, validar y exportar la información asociada a Empleados.</t>
  </si>
  <si>
    <t>Empleados (Ganadería)</t>
  </si>
  <si>
    <t>Desarrollo de módulo ganadero para registrar, consultar, editar, validar y exportar la información asociada a Empleados.</t>
  </si>
  <si>
    <t>Edificios e Instalaciones (Agricultura)</t>
  </si>
  <si>
    <t>Desarrollo de módulo agrícola para registrar, consultar, editar, validar y exportar la información asociada a Edificios e Instalaciones.</t>
  </si>
  <si>
    <t>Edificios e Instalaciones (Ganadería)</t>
  </si>
  <si>
    <t>Desarrollo de módulo ganadero para registrar, consultar, editar, validar y exportar la información asociada a Edificios e Instalaciones.</t>
  </si>
  <si>
    <t>Maquinaria / Vehiculos (Agricultura)</t>
  </si>
  <si>
    <t>Desarrollo de módulo agrícola para registrar, consultar, editar, validar y exportar la información asociada a Maquinaria / Vehiculos.</t>
  </si>
  <si>
    <t>Maquinaria / Vehiculos (Ganadería)</t>
  </si>
  <si>
    <t>Desarrollo de módulo ganadero para registrar, consultar, editar, validar y exportar la información asociada a Maquinaria / Vehiculos.</t>
  </si>
  <si>
    <t>Usuarios autorizados (cargar datos explotación) (Agricultura)</t>
  </si>
  <si>
    <t>Desarrollo de módulo agrícola para registrar, consultar, editar, validar y exportar la información asociada a Usuarios autorizados (cargar datos explotación).</t>
  </si>
  <si>
    <t>Usuarios autorizados (cargar datos explotación) (Ganadería)</t>
  </si>
  <si>
    <t>Desarrollo de módulo ganadero para registrar, consultar, editar, validar y exportar la información asociada a Usuarios autorizados (cargar datos explotación).</t>
  </si>
  <si>
    <t>Aplicadores (persona q aplica productos) (Agricultura)</t>
  </si>
  <si>
    <t>Desarrollo de módulo agrícola para registrar, consultar, editar, validar y exportar la información asociada a Aplicadores (persona q aplica productos).</t>
  </si>
  <si>
    <t>Aplicadores (persona q aplica productos) (Ganadería)</t>
  </si>
  <si>
    <t>Desarrollo de módulo ganadero para registrar, consultar, editar, validar y exportar la información asociada a Aplicadores (persona q aplica productos).</t>
  </si>
  <si>
    <t>PRODUCTOS (Agricultura)</t>
  </si>
  <si>
    <t>Desarrollo de módulo agrícola para registrar, consultar, editar, validar y exportar la información asociada a PRODUCTOS.</t>
  </si>
  <si>
    <t>PRODUCTOS (Ganadería)</t>
  </si>
  <si>
    <t>Desarrollo de módulo ganadero para registrar, consultar, editar, validar y exportar la información asociada a PRODUCTOS.</t>
  </si>
  <si>
    <t>CLIENTES (Agricultura)</t>
  </si>
  <si>
    <t>Desarrollo de módulo agrícola para registrar, consultar, editar, validar y exportar la información asociada a CLIENTES.</t>
  </si>
  <si>
    <t>CLIENTES (Ganadería)</t>
  </si>
  <si>
    <t>Desarrollo de módulo ganadero para registrar, consultar, editar, validar y exportar la información asociada a CLIENTES.</t>
  </si>
  <si>
    <t>PROVEEDORES (Agricultura)</t>
  </si>
  <si>
    <t>Desarrollo de módulo agrícola para registrar, consultar, editar, validar y exportar la información asociada a PROVEEDORES.</t>
  </si>
  <si>
    <t>PROVEEDORES (Ganadería)</t>
  </si>
  <si>
    <t>Desarrollo de módulo ganadero para registrar, consultar, editar, validar y exportar la información asociada a PROVEEDORES.</t>
  </si>
  <si>
    <t>TRANSPORTISTAS (Agricultura)</t>
  </si>
  <si>
    <t>Desarrollo de módulo agrícola para registrar, consultar, editar, validar y exportar la información asociada a TRANSPORTISTAS.</t>
  </si>
  <si>
    <t>TRANSPORTISTAS (Ganadería)</t>
  </si>
  <si>
    <t>Desarrollo de módulo ganadero para registrar, consultar, editar, validar y exportar la información asociada a TRANSPORTISTAS.</t>
  </si>
  <si>
    <t>ASOCIACIONES (ganaderas, veterinarias) (Agricultura)</t>
  </si>
  <si>
    <t>Desarrollo de módulo agrícola para registrar, consultar, editar, validar y exportar la información asociada a ASOCIACIONES (ganaderas, veterinarias).</t>
  </si>
  <si>
    <t>ASOCIACIONES (ganaderas, veterinarias) (Ganadería)</t>
  </si>
  <si>
    <t>Desarrollo de módulo ganadero para registrar, consultar, editar, validar y exportar la información asociada a ASOCIACIONES (ganaderas, veterinarias).</t>
  </si>
  <si>
    <t>Funcionalidades - Parcelas y SIGPAC</t>
  </si>
  <si>
    <t>Parcelas (datos SIGPAC) (Agricultura)</t>
  </si>
  <si>
    <t>Gestión de parcelas con datos SIGPAC, superficies, cultivos, vínculos con explotación y soporte a reportabilidad.</t>
  </si>
  <si>
    <t>Parcelas (datos SIGPAC) (Ganadería)</t>
  </si>
  <si>
    <t>Funcionalidades - Tratamientos Agrícolas</t>
  </si>
  <si>
    <t>Fitosanitarios (Agricultura)</t>
  </si>
  <si>
    <t>Registro y consulta de tratamientos fitosanitarios con producto, dosis, superficie, aplicador, fechas y trazabilidad.</t>
  </si>
  <si>
    <t>Fertilización (Agricultura)</t>
  </si>
  <si>
    <t>Registro de fertilización, productos, dosis, superficies y datos necesarios para plan de abonado y reportes.</t>
  </si>
  <si>
    <t>Otros tratamientos (bioestimulantes, herbicinas, ...) (Agricultura)</t>
  </si>
  <si>
    <t>Desarrollo de módulo agrícola para registrar, consultar, editar, validar y exportar la información asociada a Otros tratamientos (bioestimulantes, herbicinas, ...).</t>
  </si>
  <si>
    <t>Compra productos (Agricultura)</t>
  </si>
  <si>
    <t>Desarrollo de módulo agrícola para registrar, consultar, editar, validar y exportar la información asociada a Compra productos.</t>
  </si>
  <si>
    <t>Cosecha /Recolección / Siega (Agricultura)</t>
  </si>
  <si>
    <t>Desarrollo de módulo agrícola para registrar, consultar, editar, validar y exportar la información asociada a Cosecha /Recolección / Siega.</t>
  </si>
  <si>
    <t>Siembra / Plantación (Agricultura)</t>
  </si>
  <si>
    <t>Desarrollo de módulo agrícola para registrar, consultar, editar, validar y exportar la información asociada a Siembra / Plantación.</t>
  </si>
  <si>
    <t>Pastoreo (Agricultura)</t>
  </si>
  <si>
    <t>Desarrollo de módulo agrícola para registrar, consultar, editar, validar y exportar la información asociada a Pastoreo.</t>
  </si>
  <si>
    <t>Pastoreo (Ganadería)</t>
  </si>
  <si>
    <t>Desarrollo de módulo ganadero para registrar, consultar, editar, validar y exportar la información asociada a Pastoreo.</t>
  </si>
  <si>
    <t>Riego (Agricultura)</t>
  </si>
  <si>
    <t>Desarrollo de módulo agrícola para registrar, consultar, editar, validar y exportar la información asociada a Riego.</t>
  </si>
  <si>
    <t>Poda (Agricultura)</t>
  </si>
  <si>
    <t>Desarrollo de módulo agrícola para registrar, consultar, editar, validar y exportar la información asociada a Poda.</t>
  </si>
  <si>
    <t>Cubierta vegetal (sembrada/inerte) (Agricultura)</t>
  </si>
  <si>
    <t>Desarrollo de módulo agrícola para registrar, consultar, editar, validar y exportar la información asociada a Cubierta vegetal (sembrada/inerte).</t>
  </si>
  <si>
    <t>Funcionalidades - Analíticas Técnicas</t>
  </si>
  <si>
    <t>Muestras (Agricultura)</t>
  </si>
  <si>
    <t>Desarrollo de módulo agrícola para registrar, consultar, editar, validar y exportar la información asociada a Muestras.</t>
  </si>
  <si>
    <t>Funcionalidades - Censo Ganadero</t>
  </si>
  <si>
    <t>Listado de animales (Ganadería)</t>
  </si>
  <si>
    <t>Censo y consulta de animales con identificación, estado, datos productivos y filtros operacionales.</t>
  </si>
  <si>
    <t>Funcionalidades - Identificación Animal</t>
  </si>
  <si>
    <t>Crotales sin dar de alta (Ganadería)</t>
  </si>
  <si>
    <t>Desarrollo de módulo ganadero para registrar, consultar, editar, validar y exportar la información asociada a Crotales sin dar de alta.</t>
  </si>
  <si>
    <t>Funcionalidades - Actividad Ganadera</t>
  </si>
  <si>
    <t>Nacimiento (Ganadería)</t>
  </si>
  <si>
    <t>Registro de evento de nacimiento de animales con datos obligatorios, validaciones y trazabilidad del movimiento.</t>
  </si>
  <si>
    <t>Muerte (Ganadería)</t>
  </si>
  <si>
    <t>Registro de evento de muerte de animales con datos obligatorios, validaciones y trazabilidad del movimiento.</t>
  </si>
  <si>
    <t>Compra (Ganadería)</t>
  </si>
  <si>
    <t>Registro de evento de compra de animales con datos obligatorios, validaciones y trazabilidad del movimiento.</t>
  </si>
  <si>
    <t>Venta (Ganadería)</t>
  </si>
  <si>
    <t>Registro de evento de venta de animales con datos obligatorios, validaciones y trazabilidad del movimiento.</t>
  </si>
  <si>
    <t>Incidencia (Ganadería)</t>
  </si>
  <si>
    <t>Desarrollo de módulo ganadero para registrar, consultar, editar, validar y exportar la información asociada a Incidencia.</t>
  </si>
  <si>
    <t>Funcionalidades - Alimentación Ganadera</t>
  </si>
  <si>
    <t>Compra /Alimento propio  (incl. Factura basica) (Ganadería)</t>
  </si>
  <si>
    <t>Desarrollo de módulo ganadero para registrar, consultar, editar, validar y exportar la información asociada a Compra /Alimento propio  (incl. Factura basica).</t>
  </si>
  <si>
    <t>Funcionalidades - Medicamentos Ganaderos</t>
  </si>
  <si>
    <t>Compra /prescripción  (incl. Factura basica) (Ganadería)</t>
  </si>
  <si>
    <t>Desarrollo de módulo ganadero para registrar, consultar, editar, validar y exportar la información asociada a Compra /prescripción  (incl. Factura basica).</t>
  </si>
  <si>
    <t>Funcionalidades - Sanidad Ganadera</t>
  </si>
  <si>
    <t>Veterinarios (explotación) (Ganadería)</t>
  </si>
  <si>
    <t>Desarrollo de módulo ganadero para registrar, consultar, editar, validar y exportar la información asociada a Veterinarios (explotación).</t>
  </si>
  <si>
    <t>Pruebas (saneamientos, analíticas) (Ganadería)</t>
  </si>
  <si>
    <t>Desarrollo de módulo ganadero para registrar, consultar, editar, validar y exportar la información asociada a Pruebas (saneamientos, analíticas).</t>
  </si>
  <si>
    <t>Tratamientos (Ganadería)</t>
  </si>
  <si>
    <t>Registro y consulta de tratamientos sanitarios con medicamento, dosis, veterinario, periodos de retiro y animal/lote asociado.</t>
  </si>
  <si>
    <t>Funcionalidades - Informes Oficiales</t>
  </si>
  <si>
    <t>Cuaderno de Campo (agro) (Agricultura)</t>
  </si>
  <si>
    <t>Implementación de registros, validaciones y exportación del Cuaderno de Campo para cumplimiento y trazabilidad agrícola.</t>
  </si>
  <si>
    <t>Libro de Registro (ganadero) (Ganadería)</t>
  </si>
  <si>
    <t>Implementación del Libro de Registro Ganadero con registros oficiales, filtros, trazabilidad y exportación.</t>
  </si>
  <si>
    <t>Funcionalidades - Analítica y Métricas</t>
  </si>
  <si>
    <t>Analitica Basica (Agricultura)</t>
  </si>
  <si>
    <t>Construcción de indicadores, cálculos y visualizaciones para apoyar gestión, análisis y toma de decisiones.</t>
  </si>
  <si>
    <t>Analitica Basica (Ganadería)</t>
  </si>
  <si>
    <t>Analitica Premium (Agricultura)</t>
  </si>
  <si>
    <t>Analitica Premium (Ganadería)</t>
  </si>
  <si>
    <t>Analitica a medida (Agricultura)</t>
  </si>
  <si>
    <t>Analitica a medida (Ganadería)</t>
  </si>
  <si>
    <t>Analitica Sostenibilidad (ODS) (Agricultura)</t>
  </si>
  <si>
    <t>Analitica Sostenibilidad (ODS) (Ganadería)</t>
  </si>
  <si>
    <t>Funcionalidades - Blog / Canal de Noticias</t>
  </si>
  <si>
    <t>Noticias por Comunidad Autonoma(RSS) (Agricultura)</t>
  </si>
  <si>
    <t>Desarrollo de módulo agrícola para registrar, consultar, editar, validar y exportar la información asociada a Noticias por Comunidad Autonoma(RSS).</t>
  </si>
  <si>
    <t>Noticias por Comunidad Autonoma(RSS) (Ganadería)</t>
  </si>
  <si>
    <t>Desarrollo de módulo ganadero para registrar, consultar, editar, validar y exportar la información asociada a Noticias por Comunidad Autonoma(RSS).</t>
  </si>
  <si>
    <t>Subastas y Lonjas (Agricultura)</t>
  </si>
  <si>
    <t>Desarrollo de módulo agrícola para registrar, consultar, editar, validar y exportar la información asociada a Subastas y Lonjas.</t>
  </si>
  <si>
    <t>Subastas y Lonjas (Ganadería)</t>
  </si>
  <si>
    <t>Desarrollo de módulo ganadero para registrar, consultar, editar, validar y exportar la información asociada a Subastas y Lonjas.</t>
  </si>
  <si>
    <t>Funcionalidades - IoT y Tecnología</t>
  </si>
  <si>
    <t>Sensores (Agricultura)</t>
  </si>
  <si>
    <t>Preparación de modelo de datos, endpoints e interfaz para captura y visualización de datos de sensores.</t>
  </si>
  <si>
    <t>Sensores (Ganadería)</t>
  </si>
  <si>
    <t>Integración app tractores/maquinaria (Agricultura)</t>
  </si>
  <si>
    <t>Desarrollo de módulo agrícola para registrar, consultar, editar, validar y exportar la información asociada a Integración app tractores/maquinaria.</t>
  </si>
  <si>
    <t>Integración app tractores/maquinaria (Ganadería)</t>
  </si>
  <si>
    <t>Desarrollo de módulo ganadero para registrar, consultar, editar, validar y exportar la información asociada a Integración app tractores/maquinaria.</t>
  </si>
  <si>
    <t>Microchips animales (Agricultura)</t>
  </si>
  <si>
    <t>Desarrollo de módulo agrícola para registrar, consultar, editar, validar y exportar la información asociada a Microchips animales.</t>
  </si>
  <si>
    <t>Microchips animales (Ganadería)</t>
  </si>
  <si>
    <t>Desarrollo de módulo ganadero para registrar, consultar, editar, validar y exportar la información asociada a Microchips animales.</t>
  </si>
  <si>
    <t>Geolocalización (Agricultura)</t>
  </si>
  <si>
    <t>Registro y visualización de ubicaciones geográficas asociadas a activos, parcelas, animales o eventos operacionales.</t>
  </si>
  <si>
    <t>Geolocalización (Ganadería)</t>
  </si>
  <si>
    <t>Funcionalidades - Meteorología</t>
  </si>
  <si>
    <t>METEOROLOGIA (Agricultura)</t>
  </si>
  <si>
    <t>Desarrollo de módulo agrícola para registrar, consultar, editar, validar y exportar la información asociada a METEOROLOGIA.</t>
  </si>
  <si>
    <t>METEOROLOGIA (Ganadería)</t>
  </si>
  <si>
    <t>Desarrollo de módulo ganadero para registrar, consultar, editar, validar y exportar la información asociada a METEOROLOGIA.</t>
  </si>
  <si>
    <t>Funcionalidades - Formación</t>
  </si>
  <si>
    <t>Cursos (Agricultura)</t>
  </si>
  <si>
    <t>Desarrollo de módulo agrícola para registrar, consultar, editar, validar y exportar la información asociada a Cursos.</t>
  </si>
  <si>
    <t>Cursos (Ganadería)</t>
  </si>
  <si>
    <t>Desarrollo de módulo ganadero para registrar, consultar, editar, validar y exportar la información asociada a Cursos.</t>
  </si>
  <si>
    <t>Certificados (Agricultura)</t>
  </si>
  <si>
    <t>Desarrollo de módulo agrícola para registrar, consultar, editar, validar y exportar la información asociada a Certificados.</t>
  </si>
  <si>
    <t>Certificados (Ganadería)</t>
  </si>
  <si>
    <t>Desarrollo de módulo ganadero para registrar, consultar, editar, validar y exportar la información asociada a Certificados.</t>
  </si>
  <si>
    <t>Funcionalidades - Administración</t>
  </si>
  <si>
    <t>Facturas emitidas (Agricultura)</t>
  </si>
  <si>
    <t>Desarrollo de módulo agrícola para registrar, consultar, editar, validar y exportar la información asociada a Facturas emitidas.</t>
  </si>
  <si>
    <t>Facturas emitidas (Ganadería)</t>
  </si>
  <si>
    <t>Desarrollo de módulo ganadero para registrar, consultar, editar, validar y exportar la información asociada a Facturas emitidas.</t>
  </si>
  <si>
    <t>Facturas recibidas (Agricultura)</t>
  </si>
  <si>
    <t>Desarrollo de módulo agrícola para registrar, consultar, editar, validar y exportar la información asociada a Facturas recibidas.</t>
  </si>
  <si>
    <t>Facturas recibidas (Ganadería)</t>
  </si>
  <si>
    <t>Desarrollo de módulo ganadero para registrar, consultar, editar, validar y exportar la información asociada a Facturas recibidas.</t>
  </si>
  <si>
    <t>Albaranes (Agricultura)</t>
  </si>
  <si>
    <t>Desarrollo de módulo agrícola para registrar, consultar, editar, validar y exportar la información asociada a Albaranes.</t>
  </si>
  <si>
    <t>Albaranes (Ganadería)</t>
  </si>
  <si>
    <t>Desarrollo de módulo ganadero para registrar, consultar, editar, validar y exportar la información asociada a Albaranes.</t>
  </si>
  <si>
    <t>Nominas (Agricultura)</t>
  </si>
  <si>
    <t>Desarrollo de módulo agrícola para registrar, consultar, editar, validar y exportar la información asociada a Nominas.</t>
  </si>
  <si>
    <t>Nominas (Ganadería)</t>
  </si>
  <si>
    <t>Desarrollo de módulo ganadero para registrar, consultar, editar, validar y exportar la información asociada a Nominas.</t>
  </si>
  <si>
    <t>Plan de trabajo /ejecución (funciones por empleado) (Agricultura)</t>
  </si>
  <si>
    <t>Desarrollo de módulo agrícola para registrar, consultar, editar, validar y exportar la información asociada a Plan de trabajo /ejecución (funciones por empleado).</t>
  </si>
  <si>
    <t>Plan de trabajo /ejecución (funciones por empleado) (Ganadería)</t>
  </si>
  <si>
    <t>Desarrollo de módulo ganadero para registrar, consultar, editar, validar y exportar la información asociada a Plan de trabajo /ejecución (funciones por empleado).</t>
  </si>
  <si>
    <t>Funcionalidades - Análisis Financiero</t>
  </si>
  <si>
    <t>Ratios (Agricultura)</t>
  </si>
  <si>
    <t>Ratios (Ganadería)</t>
  </si>
  <si>
    <t>Informe mensual (Agricultura)</t>
  </si>
  <si>
    <t>Generación de informe parametrizable con datos consolidados, métricas y exportación para seguimiento periódico.</t>
  </si>
  <si>
    <t>Informe mensual (Ganadería)</t>
  </si>
  <si>
    <t>Informe Trimestral (Agricultura)</t>
  </si>
  <si>
    <t>Informe Trimestral (Ganadería)</t>
  </si>
  <si>
    <t>Informe Semestral (Agricultura)</t>
  </si>
  <si>
    <t>Informe Semestral (Ganadería)</t>
  </si>
  <si>
    <t>Informe Anual (Agricultura)</t>
  </si>
  <si>
    <t>Servicios comunes, catálogos base y datos maestros</t>
  </si>
  <si>
    <t>Construcción de servicios reutilizables para CRUD, catálogos, filtros, paginación, búsqueda, validaciones y reutilización transversal.</t>
  </si>
  <si>
    <t>Parametrización por comunidad autónoma y reglas de negocio</t>
  </si>
  <si>
    <t>Implementación de estructura de reglas parametrizables por CCAA, tipos de explotación, formatos, obligatoriedad de campos y validaciones.</t>
  </si>
  <si>
    <t>Motor de exportación PDF, Excel y CSV</t>
  </si>
  <si>
    <t>Desarrollo de componentes comunes para generación de libros, informes, listados y descargas en formatos PDF, XLS/XLSX y CSV.</t>
  </si>
  <si>
    <t>Gestión documental y adjuntos</t>
  </si>
  <si>
    <t>Desarrollo de estructura para cargar, clasificar, consultar y vincular documentos a explotaciones, animales, parcelas, facturas o actividades.</t>
  </si>
  <si>
    <t>Reportería y dashboards</t>
  </si>
  <si>
    <t>Framework de dashboards e indicadores</t>
  </si>
  <si>
    <t>Construcción de componentes de KPIs, gráficos, filtros, vistas de resumen y base de cálculo para métricas agro-ganaderas y financieras.</t>
  </si>
  <si>
    <t>Motor de notificaciones y alertas</t>
  </si>
  <si>
    <t>Definición y desarrollo de alertas por vencimientos, inconsistencias, datos críticos, umbrales y tareas pendientes.</t>
  </si>
  <si>
    <t>Seguridad, escalabilidad y compliance</t>
  </si>
  <si>
    <t>Multi-tenant y segregación de datos por cliente</t>
  </si>
  <si>
    <t>Adaptación de la plataforma para múltiples explotaciones/clientes, separación lógica de datos, permisos granulares y administración centralizada.</t>
  </si>
  <si>
    <t>Endurecimiento de seguridad y cumplimiento RGPD</t>
  </si>
  <si>
    <t>Revisión de datos personales, medidas de protección, políticas de acceso, retención, respaldos y pruebas de seguridad aplicables.</t>
  </si>
  <si>
    <t>Auditoría, trazabilidad y bitácoras funcionales</t>
  </si>
  <si>
    <t>Implementación de registro de cambios, bitácoras de actividad, consulta de auditoría y trazabilidad para inspecciones o revisiones internas.</t>
  </si>
  <si>
    <t>Integraciones y automatización</t>
  </si>
  <si>
    <t>Cargas masivas Excel/CSV y validación de errores</t>
  </si>
  <si>
    <t>Implementación de importadores masivos con plantillas, validación de datos, previsualización, control de errores y trazabilidad de carga.</t>
  </si>
  <si>
    <t>Diseño e implementación de integración SIGPAC, REGA y DIB</t>
  </si>
  <si>
    <t>Diseño de interfaces, mapeos y mecanismos de consulta/importación/exportación para datos oficiales o archivos compatibles cuando aplique.</t>
  </si>
  <si>
    <t>API externa y endpoints de integración</t>
  </si>
  <si>
    <t>Construcción de endpoints documentados para futuras integraciones con sensores, maquinaria, ERPs, herramientas de terceros o partners.</t>
  </si>
  <si>
    <t>App móvil AgroApp</t>
  </si>
  <si>
    <t>Diseño UX/UI específico para móvil</t>
  </si>
  <si>
    <t>Diseño de flujos móviles para registro en campo, consulta rápida, captura de datos, formularios simples y operación con conectividad variable.</t>
  </si>
  <si>
    <t>Setup de proyecto móvil y arquitectura</t>
  </si>
  <si>
    <t>Configuración de aplicación móvil, navegación, estado, conexión con APIs, almacenamiento local y criterios de publicación.</t>
  </si>
  <si>
    <t>Desarrollo de flujos móviles agrícolas</t>
  </si>
  <si>
    <t>Implementación móvil para registro de labores, tratamientos, fertilización, consulta de parcelas y captura de datos en terreno.</t>
  </si>
  <si>
    <t>Desarrollo de flujos móviles ganaderos</t>
  </si>
  <si>
    <t>Implementación móvil para altas, bajas, movimientos, tratamientos, consulta de DIB y registros operativos ganaderos.</t>
  </si>
  <si>
    <t>Modo offline ligero y sincronización</t>
  </si>
  <si>
    <t>Desarrollo de almacenamiento local, cola de sincronización, manejo de conflictos y operación básica sin conexión para terreno.</t>
  </si>
  <si>
    <t>QA, pruebas y despliegue</t>
  </si>
  <si>
    <t>Plan de pruebas y casos funcionales</t>
  </si>
  <si>
    <t>Definición de estrategia de QA, casos de prueba por módulo, matriz de cobertura, datos de prueba y criterios de aceptación.</t>
  </si>
  <si>
    <t>Pruebas funcionales, regresión y corrección de bugs</t>
  </si>
  <si>
    <t>Ejecución de pruebas funcionales y regresión, registro de incidencias, priorización y soporte a corrección de defectos.</t>
  </si>
  <si>
    <t>Pruebas de seguridad, rendimiento y estabilidad</t>
  </si>
  <si>
    <t>Pruebas de roles, accesos, rendimiento, estabilidad de APIs, manejo de errores, trazabilidad y validaciones críticas.</t>
  </si>
  <si>
    <t>UAT con usuarios piloto y ajustes finales</t>
  </si>
  <si>
    <t>Acompañamiento a pruebas de usuarios, consolidación de feedback, priorización de ajustes y cierre funcional por módulo.</t>
  </si>
  <si>
    <t>Despliegue productivo, documentación y manuales</t>
  </si>
  <si>
    <t>Preparación de despliegue, manuales de usuario, documentación técnica, guía rápida, checklist de producción y traspaso operacional.</t>
  </si>
  <si>
    <t>Arquitectura de datos e IA</t>
  </si>
  <si>
    <t>Diseño de arquitectura IA, gobierno de datos y criterios de entrenamiento</t>
  </si>
  <si>
    <t>Definición de arquitectura para IA, fuentes de datos, permisos, trazabilidad, calidad de datos, evaluación de modelos, seguridad y criterios de uso responsable.</t>
  </si>
  <si>
    <t>Funcionalidades IA - Captura por voz</t>
  </si>
  <si>
    <t>Ingreso de información por voz (Agricultura)</t>
  </si>
  <si>
    <t>Captura de registros agrícolas mediante voz, transcripción, estructuración automática en formularios, validaciones y confirmación antes de guardar.</t>
  </si>
  <si>
    <t>Ingreso de información por voz (Ganadería)</t>
  </si>
  <si>
    <t>Captura de registros ganaderos mediante voz, transcripción, estructuración automática en formularios, validaciones y confirmación antes de guardar.</t>
  </si>
  <si>
    <t>Funcionalidades IA - Asistente LLM</t>
  </si>
  <si>
    <t>Asistente LLM de consultas del sistema (Agricultura)</t>
  </si>
  <si>
    <t>Asistente conversacional para consultar datos agrícolas, explicar indicadores, resumir información de parcelas y orientar al usuario dentro del sistema.</t>
  </si>
  <si>
    <t>Asistente LLM de consultas del sistema (Ganadería)</t>
  </si>
  <si>
    <t>Asistente conversacional para consultar datos ganaderos, explicar indicadores, resumir información de animales/explotaciones y orientar al usuario dentro del sistema.</t>
  </si>
  <si>
    <t>Asistente LLM para registrar tareas y acciones guiadas (Agricultura)</t>
  </si>
  <si>
    <t>Creación guiada de tareas agrícolas mediante lenguaje natural, generación de borradores, asignación de responsables, fechas y confirmación de acciones.</t>
  </si>
  <si>
    <t>Asistente LLM para registrar tareas y acciones guiadas (Ganadería)</t>
  </si>
  <si>
    <t>Creación guiada de tareas ganaderas mediante lenguaje natural, generación de borradores, asignación de responsables, fechas y confirmación de acciones.</t>
  </si>
  <si>
    <t>Funcionalidades IA - Modelos predictivos</t>
  </si>
  <si>
    <t>Predicción de riesgo sanitario y tratamientos (Ganadería)</t>
  </si>
  <si>
    <t>Modelo predictivo para anticipar riesgos sanitarios, patrones de tratamientos, alertas de animales/grupos y priorización de acciones preventivas.</t>
  </si>
  <si>
    <t>Predicción de planificación agrícola, riego y fertilización (Agricultura)</t>
  </si>
  <si>
    <t>Modelo predictivo para anticipar necesidades de riego, fertilización o labores según datos históricos, clima, parcelas y registros operativos disponibles.</t>
  </si>
  <si>
    <t>Predicción de rentabilidad, costes y alertas de margen (Agricultura)</t>
  </si>
  <si>
    <t>Modelo predictivo para anticipar evolución de costes, márgenes, desviaciones y alertas económicas a partir de registros financieros y productivos.</t>
  </si>
  <si>
    <t>Predicción de rentabilidad, costes y alertas de margen (Ganadería)</t>
  </si>
  <si>
    <t>Modelo predictivo para anticipar evolución de costes, márgenes, desviaciones y alertas económicas a partir de registros financieros, sanitarios y productivos.</t>
  </si>
  <si>
    <t>MLOps y operación de IA</t>
  </si>
  <si>
    <t>Evaluación, monitoreo y mejora continua de modelos IA</t>
  </si>
  <si>
    <t>Definición de métricas, evaluación de calidad, monitoreo de desempeño, trazabilidad de predicciones, retraining y tablero operativo de modelos.</t>
  </si>
  <si>
    <t>Comercialización y lanzamiento</t>
  </si>
  <si>
    <t>Propuesta de valor, pricing y packaging</t>
  </si>
  <si>
    <t>Definición de planes, alcance por versión, narrativa comercial, precios, condiciones de pilotos y criterios de escalamiento.</t>
  </si>
  <si>
    <t>Material comercial, demo y sitio de producto</t>
  </si>
  <si>
    <t>Preparación de presentación, one-pager, guión de demo, casos de uso, mensajes por segmento y material para venta consultiva.</t>
  </si>
  <si>
    <t>Pilotos, feedback de mercado y roadmap post-lanzamiento</t>
  </si>
  <si>
    <t>Ejecución de demos/pilotos, levantamiento de feedback, priorización de backlog y definición de releases posteriores.</t>
  </si>
  <si>
    <t>Total por:</t>
  </si>
  <si>
    <t>Valor</t>
  </si>
  <si>
    <t>Valor HH:</t>
  </si>
  <si>
    <t>Funcionalidades - Otras Actividades</t>
  </si>
  <si>
    <t>Analisis costes / márgenes (Agricultura)</t>
  </si>
  <si>
    <t>Analisis costes / márgenes (Ganadería)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</si>
</sst>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\ [$€-C0A]"/>
    <numFmt numFmtId="167" formatCode="#,##0.00\ [$€-C0A]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left" vertical="center" wrapText="1"/>
    </xf>
    <xf numFmtId="0" fontId="0" fillId="0" borderId="4" xfId="0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/>
    <xf numFmtId="165" fontId="0" fillId="0" borderId="0" xfId="0" applyNumberFormat="1"/>
    <xf numFmtId="167" fontId="0" fillId="0" borderId="0" xfId="0" applyNumberFormat="1"/>
    <xf numFmtId="165" fontId="0" fillId="0" borderId="6" xfId="0" applyNumberFormat="1" applyBorder="1"/>
    <xf numFmtId="165" fontId="1" fillId="0" borderId="0" xfId="0" applyNumberFormat="1" applyFont="1"/>
  </cellXfs>
  <cellStyles count="1">
    <cellStyle name="Normal" xfId="0" builtinId="0"/>
  </cellStyles>
  <dxfs count="1">
    <dxf>
      <font>
        <color theme="5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1B49-7883-2245-9021-80B6900100EE}">
  <dimension ref="A1:S151"/>
  <sheetViews>
    <sheetView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J154" sqref="J154"/>
    </sheetView>
  </sheetViews>
  <sheetFormatPr baseColWidth="10" defaultRowHeight="16" x14ac:dyDescent="0.2"/>
  <cols>
    <col min="1" max="1" width="43.5" customWidth="1"/>
    <col min="2" max="2" width="63" bestFit="1" customWidth="1"/>
    <col min="3" max="3" width="58.33203125" bestFit="1" customWidth="1"/>
    <col min="4" max="4" width="62.83203125" style="12" customWidth="1"/>
    <col min="10" max="19" width="7.6640625" customWidth="1"/>
  </cols>
  <sheetData>
    <row r="1" spans="1:19" ht="18" thickBot="1" x14ac:dyDescent="0.25">
      <c r="A1" s="4" t="s">
        <v>0</v>
      </c>
      <c r="B1" s="4" t="s">
        <v>1</v>
      </c>
      <c r="C1" s="4" t="s">
        <v>2</v>
      </c>
      <c r="D1" s="1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51" x14ac:dyDescent="0.2">
      <c r="A2" s="13" t="s">
        <v>19</v>
      </c>
      <c r="B2" s="20" t="s">
        <v>20</v>
      </c>
      <c r="C2" s="20"/>
      <c r="D2" s="21" t="s">
        <v>21</v>
      </c>
      <c r="E2" s="5" t="s">
        <v>22</v>
      </c>
      <c r="F2" s="5"/>
      <c r="G2" s="5"/>
      <c r="H2" s="5"/>
      <c r="I2" s="5">
        <v>10</v>
      </c>
      <c r="J2" s="5">
        <v>1</v>
      </c>
      <c r="K2" s="5">
        <v>1</v>
      </c>
      <c r="L2" s="5"/>
      <c r="M2" s="5"/>
      <c r="N2" s="5"/>
      <c r="O2" s="5"/>
      <c r="P2" s="5"/>
      <c r="Q2" s="5"/>
      <c r="R2" s="5"/>
      <c r="S2" s="5"/>
    </row>
    <row r="3" spans="1:19" ht="51" x14ac:dyDescent="0.2">
      <c r="A3" s="14"/>
      <c r="B3" s="22" t="s">
        <v>23</v>
      </c>
      <c r="C3" s="22"/>
      <c r="D3" s="23" t="s">
        <v>24</v>
      </c>
      <c r="E3" s="6" t="s">
        <v>22</v>
      </c>
      <c r="F3" s="6"/>
      <c r="G3" s="6"/>
      <c r="H3" s="6"/>
      <c r="I3" s="6">
        <v>30</v>
      </c>
      <c r="J3" s="6">
        <v>1</v>
      </c>
      <c r="K3" s="6">
        <v>1</v>
      </c>
      <c r="L3" s="6"/>
      <c r="M3" s="6"/>
      <c r="N3" s="6"/>
      <c r="O3" s="6"/>
      <c r="P3" s="6"/>
      <c r="Q3" s="6"/>
      <c r="R3" s="6"/>
      <c r="S3" s="6"/>
    </row>
    <row r="4" spans="1:19" ht="34" x14ac:dyDescent="0.2">
      <c r="A4" s="15"/>
      <c r="B4" s="24" t="s">
        <v>25</v>
      </c>
      <c r="C4" s="24"/>
      <c r="D4" s="25" t="s">
        <v>26</v>
      </c>
      <c r="E4" s="7" t="s">
        <v>22</v>
      </c>
      <c r="F4" s="7"/>
      <c r="G4" s="7"/>
      <c r="H4" s="7"/>
      <c r="I4" s="7">
        <v>28</v>
      </c>
      <c r="J4" s="7">
        <v>1</v>
      </c>
      <c r="K4" s="7">
        <v>1</v>
      </c>
      <c r="L4" s="7"/>
      <c r="M4" s="7"/>
      <c r="N4" s="7"/>
      <c r="O4" s="7"/>
      <c r="P4" s="7"/>
      <c r="Q4" s="7"/>
      <c r="R4" s="7"/>
      <c r="S4" s="7"/>
    </row>
    <row r="5" spans="1:19" ht="34" x14ac:dyDescent="0.2">
      <c r="A5" s="16" t="s">
        <v>27</v>
      </c>
      <c r="B5" s="2" t="s">
        <v>28</v>
      </c>
      <c r="C5" s="2"/>
      <c r="D5" s="3" t="s">
        <v>29</v>
      </c>
      <c r="E5" t="s">
        <v>22</v>
      </c>
      <c r="I5">
        <v>36</v>
      </c>
      <c r="J5">
        <v>1</v>
      </c>
      <c r="K5">
        <v>1</v>
      </c>
    </row>
    <row r="6" spans="1:19" ht="51" x14ac:dyDescent="0.2">
      <c r="A6" s="16"/>
      <c r="B6" s="2" t="s">
        <v>30</v>
      </c>
      <c r="C6" s="2"/>
      <c r="D6" s="3" t="s">
        <v>31</v>
      </c>
      <c r="F6" t="s">
        <v>22</v>
      </c>
      <c r="I6">
        <v>42</v>
      </c>
      <c r="J6">
        <v>1</v>
      </c>
      <c r="K6">
        <v>1</v>
      </c>
    </row>
    <row r="7" spans="1:19" ht="34" x14ac:dyDescent="0.2">
      <c r="A7" s="17" t="s">
        <v>32</v>
      </c>
      <c r="B7" s="26" t="s">
        <v>33</v>
      </c>
      <c r="C7" s="26"/>
      <c r="D7" s="27" t="s">
        <v>34</v>
      </c>
      <c r="E7" s="8" t="s">
        <v>22</v>
      </c>
      <c r="F7" s="8"/>
      <c r="G7" s="8"/>
      <c r="H7" s="8"/>
      <c r="I7" s="8">
        <v>36</v>
      </c>
      <c r="J7" s="8">
        <v>1</v>
      </c>
      <c r="K7" s="8">
        <v>1</v>
      </c>
      <c r="L7" s="8"/>
      <c r="M7" s="8"/>
      <c r="N7" s="8"/>
      <c r="O7" s="8"/>
      <c r="P7" s="8"/>
      <c r="Q7" s="8"/>
      <c r="R7" s="8"/>
      <c r="S7" s="8"/>
    </row>
    <row r="8" spans="1:19" ht="51" x14ac:dyDescent="0.2">
      <c r="A8" s="14"/>
      <c r="B8" s="22" t="s">
        <v>35</v>
      </c>
      <c r="C8" s="22"/>
      <c r="D8" s="23" t="s">
        <v>36</v>
      </c>
      <c r="E8" s="6" t="s">
        <v>22</v>
      </c>
      <c r="F8" s="6"/>
      <c r="G8" s="6"/>
      <c r="H8" s="6"/>
      <c r="I8" s="6">
        <v>42</v>
      </c>
      <c r="J8" s="6">
        <v>1</v>
      </c>
      <c r="K8" s="6">
        <v>1</v>
      </c>
      <c r="L8" s="6"/>
      <c r="M8" s="6"/>
      <c r="N8" s="6"/>
      <c r="O8" s="6"/>
      <c r="P8" s="6"/>
      <c r="Q8" s="6"/>
      <c r="R8" s="6"/>
      <c r="S8" s="6"/>
    </row>
    <row r="9" spans="1:19" ht="34" x14ac:dyDescent="0.2">
      <c r="A9" s="15"/>
      <c r="B9" s="24" t="s">
        <v>37</v>
      </c>
      <c r="C9" s="24"/>
      <c r="D9" s="25" t="s">
        <v>38</v>
      </c>
      <c r="E9" s="7" t="s">
        <v>22</v>
      </c>
      <c r="F9" s="7"/>
      <c r="G9" s="7"/>
      <c r="H9" s="7"/>
      <c r="I9" s="7">
        <v>34</v>
      </c>
      <c r="J9" s="7">
        <v>1</v>
      </c>
      <c r="K9" s="7">
        <v>1</v>
      </c>
      <c r="L9" s="7"/>
      <c r="M9" s="7"/>
      <c r="N9" s="7"/>
      <c r="O9" s="7"/>
      <c r="P9" s="7"/>
      <c r="Q9" s="7"/>
      <c r="R9" s="7"/>
      <c r="S9" s="7"/>
    </row>
    <row r="10" spans="1:19" ht="34" x14ac:dyDescent="0.2">
      <c r="A10" s="16" t="s">
        <v>39</v>
      </c>
      <c r="B10" s="2" t="s">
        <v>40</v>
      </c>
      <c r="C10" s="2"/>
      <c r="D10" s="3" t="s">
        <v>41</v>
      </c>
      <c r="E10" t="s">
        <v>22</v>
      </c>
      <c r="I10">
        <v>38</v>
      </c>
      <c r="J10">
        <v>1</v>
      </c>
      <c r="K10">
        <v>1</v>
      </c>
    </row>
    <row r="11" spans="1:19" ht="51" x14ac:dyDescent="0.2">
      <c r="A11" s="16"/>
      <c r="B11" s="2" t="s">
        <v>42</v>
      </c>
      <c r="C11" s="2"/>
      <c r="D11" s="3" t="s">
        <v>43</v>
      </c>
      <c r="E11" t="s">
        <v>22</v>
      </c>
      <c r="I11">
        <v>34</v>
      </c>
      <c r="J11">
        <v>1</v>
      </c>
      <c r="K11">
        <v>1</v>
      </c>
    </row>
    <row r="12" spans="1:19" ht="51" x14ac:dyDescent="0.2">
      <c r="A12" s="16"/>
      <c r="B12" s="2" t="s">
        <v>44</v>
      </c>
      <c r="C12" s="2"/>
      <c r="D12" s="3" t="s">
        <v>45</v>
      </c>
      <c r="E12" t="s">
        <v>22</v>
      </c>
      <c r="I12">
        <v>28</v>
      </c>
      <c r="J12">
        <v>1</v>
      </c>
      <c r="K12">
        <v>1</v>
      </c>
    </row>
    <row r="13" spans="1:19" ht="51" x14ac:dyDescent="0.2">
      <c r="A13" s="17" t="s">
        <v>46</v>
      </c>
      <c r="B13" s="26" t="s">
        <v>47</v>
      </c>
      <c r="C13" s="26"/>
      <c r="D13" s="27" t="s">
        <v>48</v>
      </c>
      <c r="E13" s="8" t="s">
        <v>22</v>
      </c>
      <c r="F13" s="8"/>
      <c r="G13" s="8"/>
      <c r="H13" s="8"/>
      <c r="I13" s="8">
        <v>34</v>
      </c>
      <c r="J13" s="8"/>
      <c r="K13" s="8"/>
      <c r="L13" s="8"/>
      <c r="M13" s="8">
        <v>1</v>
      </c>
      <c r="N13" s="8">
        <v>1</v>
      </c>
      <c r="O13" s="8"/>
      <c r="P13" s="8"/>
      <c r="Q13" s="8"/>
      <c r="R13" s="8"/>
      <c r="S13" s="8"/>
    </row>
    <row r="14" spans="1:19" ht="34" x14ac:dyDescent="0.2">
      <c r="A14" s="14"/>
      <c r="B14" s="22" t="s">
        <v>49</v>
      </c>
      <c r="C14" s="22"/>
      <c r="D14" s="23" t="s">
        <v>50</v>
      </c>
      <c r="E14" s="6" t="s">
        <v>22</v>
      </c>
      <c r="F14" s="6"/>
      <c r="G14" s="6"/>
      <c r="H14" s="6"/>
      <c r="I14" s="6">
        <v>58</v>
      </c>
      <c r="J14" s="6"/>
      <c r="K14" s="6"/>
      <c r="L14" s="6"/>
      <c r="M14" s="6"/>
      <c r="N14" s="6">
        <v>1</v>
      </c>
      <c r="O14" s="6">
        <v>1</v>
      </c>
      <c r="P14" s="6"/>
      <c r="Q14" s="6"/>
      <c r="R14" s="6"/>
      <c r="S14" s="6"/>
    </row>
    <row r="15" spans="1:19" ht="51" x14ac:dyDescent="0.2">
      <c r="A15" s="15"/>
      <c r="B15" s="24" t="s">
        <v>51</v>
      </c>
      <c r="C15" s="24"/>
      <c r="D15" s="25" t="s">
        <v>52</v>
      </c>
      <c r="E15" s="7"/>
      <c r="F15" s="7" t="s">
        <v>22</v>
      </c>
      <c r="G15" s="7"/>
      <c r="H15" s="7"/>
      <c r="I15" s="7">
        <v>40</v>
      </c>
      <c r="J15" s="7"/>
      <c r="K15" s="7"/>
      <c r="L15" s="7"/>
      <c r="M15" s="7"/>
      <c r="N15" s="7">
        <v>1</v>
      </c>
      <c r="O15" s="7">
        <v>1</v>
      </c>
      <c r="P15" s="7"/>
      <c r="Q15" s="7"/>
      <c r="R15" s="7"/>
      <c r="S15" s="7"/>
    </row>
    <row r="16" spans="1:19" ht="34" x14ac:dyDescent="0.2">
      <c r="A16" s="16" t="s">
        <v>53</v>
      </c>
      <c r="B16" s="2" t="s">
        <v>54</v>
      </c>
      <c r="C16" s="2" t="s">
        <v>55</v>
      </c>
      <c r="D16" s="3" t="s">
        <v>56</v>
      </c>
      <c r="G16" t="s">
        <v>22</v>
      </c>
      <c r="I16">
        <v>50</v>
      </c>
      <c r="N16">
        <v>1</v>
      </c>
      <c r="O16">
        <v>1</v>
      </c>
    </row>
    <row r="17" spans="1:19" ht="34" x14ac:dyDescent="0.2">
      <c r="A17" s="16"/>
      <c r="B17" s="2" t="s">
        <v>54</v>
      </c>
      <c r="C17" s="2" t="s">
        <v>57</v>
      </c>
      <c r="D17" s="3" t="s">
        <v>56</v>
      </c>
      <c r="G17" t="s">
        <v>22</v>
      </c>
      <c r="I17">
        <v>42</v>
      </c>
      <c r="N17">
        <v>1</v>
      </c>
      <c r="O17">
        <v>1</v>
      </c>
    </row>
    <row r="18" spans="1:19" ht="34" x14ac:dyDescent="0.2">
      <c r="A18" s="17" t="s">
        <v>58</v>
      </c>
      <c r="B18" s="26" t="s">
        <v>54</v>
      </c>
      <c r="C18" s="26" t="s">
        <v>59</v>
      </c>
      <c r="D18" s="27" t="s">
        <v>60</v>
      </c>
      <c r="E18" s="8" t="s">
        <v>22</v>
      </c>
      <c r="F18" s="8"/>
      <c r="G18" s="8"/>
      <c r="H18" s="8"/>
      <c r="I18" s="8">
        <v>20</v>
      </c>
      <c r="J18" s="8">
        <v>1</v>
      </c>
      <c r="K18" s="8"/>
      <c r="L18" s="8"/>
      <c r="M18" s="8"/>
      <c r="N18" s="8"/>
      <c r="O18" s="8"/>
      <c r="P18" s="8"/>
      <c r="Q18" s="8"/>
      <c r="R18" s="8"/>
      <c r="S18" s="8"/>
    </row>
    <row r="19" spans="1:19" ht="34" x14ac:dyDescent="0.2">
      <c r="A19" s="14"/>
      <c r="B19" s="22" t="s">
        <v>54</v>
      </c>
      <c r="C19" s="22" t="s">
        <v>61</v>
      </c>
      <c r="D19" s="23" t="s">
        <v>62</v>
      </c>
      <c r="E19" s="6" t="s">
        <v>22</v>
      </c>
      <c r="F19" s="6"/>
      <c r="G19" s="6"/>
      <c r="H19" s="6"/>
      <c r="I19" s="6">
        <v>20</v>
      </c>
      <c r="J19" s="6">
        <v>1</v>
      </c>
      <c r="K19" s="6"/>
      <c r="L19" s="6"/>
      <c r="M19" s="6"/>
      <c r="N19" s="6"/>
      <c r="O19" s="6"/>
      <c r="P19" s="6"/>
      <c r="Q19" s="6"/>
      <c r="R19" s="6"/>
      <c r="S19" s="6"/>
    </row>
    <row r="20" spans="1:19" ht="34" x14ac:dyDescent="0.2">
      <c r="A20" s="14"/>
      <c r="B20" s="22" t="s">
        <v>54</v>
      </c>
      <c r="C20" s="22" t="s">
        <v>63</v>
      </c>
      <c r="D20" s="23" t="s">
        <v>64</v>
      </c>
      <c r="E20" s="6"/>
      <c r="F20" s="6" t="s">
        <v>22</v>
      </c>
      <c r="G20" s="6"/>
      <c r="H20" s="6"/>
      <c r="I20" s="6">
        <v>17</v>
      </c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</row>
    <row r="21" spans="1:19" ht="34" x14ac:dyDescent="0.2">
      <c r="A21" s="14"/>
      <c r="B21" s="22" t="s">
        <v>54</v>
      </c>
      <c r="C21" s="22" t="s">
        <v>65</v>
      </c>
      <c r="D21" s="23" t="s">
        <v>66</v>
      </c>
      <c r="E21" s="6" t="s">
        <v>22</v>
      </c>
      <c r="F21" s="6"/>
      <c r="G21" s="6"/>
      <c r="H21" s="6"/>
      <c r="I21" s="6">
        <v>17</v>
      </c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</row>
    <row r="22" spans="1:19" ht="34" x14ac:dyDescent="0.2">
      <c r="A22" s="14"/>
      <c r="B22" s="22" t="s">
        <v>54</v>
      </c>
      <c r="C22" s="22" t="s">
        <v>67</v>
      </c>
      <c r="D22" s="23" t="s">
        <v>68</v>
      </c>
      <c r="E22" s="6" t="s">
        <v>22</v>
      </c>
      <c r="F22" s="6"/>
      <c r="G22" s="6"/>
      <c r="H22" s="6"/>
      <c r="I22" s="6">
        <v>18</v>
      </c>
      <c r="J22" s="6">
        <v>1</v>
      </c>
      <c r="K22" s="6"/>
      <c r="L22" s="6"/>
      <c r="M22" s="6"/>
      <c r="N22" s="6"/>
      <c r="O22" s="6"/>
      <c r="P22" s="6"/>
      <c r="Q22" s="6"/>
      <c r="R22" s="6"/>
      <c r="S22" s="6"/>
    </row>
    <row r="23" spans="1:19" ht="34" x14ac:dyDescent="0.2">
      <c r="A23" s="14"/>
      <c r="B23" s="22" t="s">
        <v>54</v>
      </c>
      <c r="C23" s="22" t="s">
        <v>69</v>
      </c>
      <c r="D23" s="23" t="s">
        <v>70</v>
      </c>
      <c r="E23" s="6" t="s">
        <v>22</v>
      </c>
      <c r="F23" s="6"/>
      <c r="G23" s="6"/>
      <c r="H23" s="6"/>
      <c r="I23" s="6">
        <v>18</v>
      </c>
      <c r="J23" s="6">
        <v>1</v>
      </c>
      <c r="K23" s="6"/>
      <c r="L23" s="6"/>
      <c r="M23" s="6"/>
      <c r="N23" s="6"/>
      <c r="O23" s="6"/>
      <c r="P23" s="6"/>
      <c r="Q23" s="6"/>
      <c r="R23" s="6"/>
      <c r="S23" s="6"/>
    </row>
    <row r="24" spans="1:19" ht="34" x14ac:dyDescent="0.2">
      <c r="A24" s="14"/>
      <c r="B24" s="22" t="s">
        <v>54</v>
      </c>
      <c r="C24" s="22" t="s">
        <v>71</v>
      </c>
      <c r="D24" s="23" t="s">
        <v>72</v>
      </c>
      <c r="E24" s="6" t="s">
        <v>22</v>
      </c>
      <c r="F24" s="6"/>
      <c r="G24" s="6"/>
      <c r="H24" s="6"/>
      <c r="I24" s="6">
        <v>18</v>
      </c>
      <c r="J24" s="6"/>
      <c r="K24" s="6">
        <v>1</v>
      </c>
      <c r="L24" s="6"/>
      <c r="M24" s="6"/>
      <c r="N24" s="6"/>
      <c r="O24" s="6"/>
      <c r="P24" s="6"/>
      <c r="Q24" s="6"/>
      <c r="R24" s="6"/>
      <c r="S24" s="6"/>
    </row>
    <row r="25" spans="1:19" ht="34" x14ac:dyDescent="0.2">
      <c r="A25" s="14"/>
      <c r="B25" s="22" t="s">
        <v>54</v>
      </c>
      <c r="C25" s="22" t="s">
        <v>73</v>
      </c>
      <c r="D25" s="23" t="s">
        <v>74</v>
      </c>
      <c r="E25" s="6" t="s">
        <v>22</v>
      </c>
      <c r="F25" s="6"/>
      <c r="G25" s="6"/>
      <c r="H25" s="6"/>
      <c r="I25" s="6">
        <v>18</v>
      </c>
      <c r="J25" s="6"/>
      <c r="K25" s="6">
        <v>1</v>
      </c>
      <c r="L25" s="6"/>
      <c r="M25" s="6"/>
      <c r="N25" s="6"/>
      <c r="O25" s="6"/>
      <c r="P25" s="6"/>
      <c r="Q25" s="6"/>
      <c r="R25" s="6"/>
      <c r="S25" s="6"/>
    </row>
    <row r="26" spans="1:19" ht="51" x14ac:dyDescent="0.2">
      <c r="A26" s="14"/>
      <c r="B26" s="22" t="s">
        <v>54</v>
      </c>
      <c r="C26" s="22" t="s">
        <v>75</v>
      </c>
      <c r="D26" s="23" t="s">
        <v>76</v>
      </c>
      <c r="E26" s="6" t="s">
        <v>22</v>
      </c>
      <c r="F26" s="6"/>
      <c r="G26" s="6"/>
      <c r="H26" s="6"/>
      <c r="I26" s="6">
        <v>18</v>
      </c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</row>
    <row r="27" spans="1:19" ht="51" x14ac:dyDescent="0.2">
      <c r="A27" s="14"/>
      <c r="B27" s="22" t="s">
        <v>54</v>
      </c>
      <c r="C27" s="22" t="s">
        <v>77</v>
      </c>
      <c r="D27" s="23" t="s">
        <v>78</v>
      </c>
      <c r="E27" s="6" t="s">
        <v>22</v>
      </c>
      <c r="F27" s="6"/>
      <c r="G27" s="6"/>
      <c r="H27" s="6"/>
      <c r="I27" s="6">
        <v>18</v>
      </c>
      <c r="J27" s="6"/>
      <c r="K27" s="6">
        <v>1</v>
      </c>
      <c r="L27" s="6"/>
      <c r="M27" s="6"/>
      <c r="N27" s="6"/>
      <c r="O27" s="6"/>
      <c r="P27" s="6"/>
      <c r="Q27" s="6"/>
      <c r="R27" s="6"/>
      <c r="S27" s="6"/>
    </row>
    <row r="28" spans="1:19" ht="51" x14ac:dyDescent="0.2">
      <c r="A28" s="14"/>
      <c r="B28" s="22" t="s">
        <v>54</v>
      </c>
      <c r="C28" s="22" t="s">
        <v>79</v>
      </c>
      <c r="D28" s="23" t="s">
        <v>80</v>
      </c>
      <c r="E28" s="6" t="s">
        <v>22</v>
      </c>
      <c r="F28" s="6"/>
      <c r="G28" s="6"/>
      <c r="H28" s="6"/>
      <c r="I28" s="6">
        <v>18</v>
      </c>
      <c r="J28" s="6"/>
      <c r="K28" s="6">
        <v>1</v>
      </c>
      <c r="L28" s="6"/>
      <c r="M28" s="6"/>
      <c r="N28" s="6"/>
      <c r="O28" s="6"/>
      <c r="P28" s="6"/>
      <c r="Q28" s="6"/>
      <c r="R28" s="6"/>
      <c r="S28" s="6"/>
    </row>
    <row r="29" spans="1:19" ht="51" x14ac:dyDescent="0.2">
      <c r="A29" s="14"/>
      <c r="B29" s="22" t="s">
        <v>54</v>
      </c>
      <c r="C29" s="22" t="s">
        <v>81</v>
      </c>
      <c r="D29" s="23" t="s">
        <v>82</v>
      </c>
      <c r="E29" s="6" t="s">
        <v>22</v>
      </c>
      <c r="F29" s="6"/>
      <c r="G29" s="6"/>
      <c r="H29" s="6"/>
      <c r="I29" s="6">
        <v>18</v>
      </c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</row>
    <row r="30" spans="1:19" ht="34" x14ac:dyDescent="0.2">
      <c r="A30" s="14"/>
      <c r="B30" s="22" t="s">
        <v>54</v>
      </c>
      <c r="C30" s="22" t="s">
        <v>83</v>
      </c>
      <c r="D30" s="23" t="s">
        <v>84</v>
      </c>
      <c r="E30" s="6"/>
      <c r="F30" s="6" t="s">
        <v>22</v>
      </c>
      <c r="G30" s="6"/>
      <c r="H30" s="6"/>
      <c r="I30" s="6">
        <v>17</v>
      </c>
      <c r="J30" s="6"/>
      <c r="K30" s="6">
        <v>1</v>
      </c>
      <c r="L30" s="6"/>
      <c r="M30" s="6"/>
      <c r="N30" s="6"/>
      <c r="O30" s="6"/>
      <c r="P30" s="6"/>
      <c r="Q30" s="6"/>
      <c r="R30" s="6"/>
      <c r="S30" s="6"/>
    </row>
    <row r="31" spans="1:19" ht="34" x14ac:dyDescent="0.2">
      <c r="A31" s="14"/>
      <c r="B31" s="22" t="s">
        <v>54</v>
      </c>
      <c r="C31" s="22" t="s">
        <v>85</v>
      </c>
      <c r="D31" s="23" t="s">
        <v>86</v>
      </c>
      <c r="E31" s="6"/>
      <c r="F31" s="6" t="s">
        <v>22</v>
      </c>
      <c r="G31" s="6"/>
      <c r="H31" s="6"/>
      <c r="I31" s="6">
        <v>17</v>
      </c>
      <c r="J31" s="6"/>
      <c r="K31" s="6">
        <v>1</v>
      </c>
      <c r="L31" s="6"/>
      <c r="M31" s="6"/>
      <c r="N31" s="6"/>
      <c r="O31" s="6"/>
      <c r="P31" s="6"/>
      <c r="Q31" s="6"/>
      <c r="R31" s="6"/>
      <c r="S31" s="6"/>
    </row>
    <row r="32" spans="1:19" ht="34" x14ac:dyDescent="0.2">
      <c r="A32" s="14"/>
      <c r="B32" s="22" t="s">
        <v>54</v>
      </c>
      <c r="C32" s="22" t="s">
        <v>87</v>
      </c>
      <c r="D32" s="23" t="s">
        <v>88</v>
      </c>
      <c r="E32" s="6"/>
      <c r="F32" s="6" t="s">
        <v>22</v>
      </c>
      <c r="G32" s="6"/>
      <c r="H32" s="6"/>
      <c r="I32" s="6">
        <v>17</v>
      </c>
      <c r="J32" s="6"/>
      <c r="K32" s="6">
        <v>1</v>
      </c>
      <c r="L32" s="6"/>
      <c r="M32" s="6"/>
      <c r="N32" s="6"/>
      <c r="O32" s="6"/>
      <c r="P32" s="6"/>
      <c r="Q32" s="6"/>
      <c r="R32" s="6"/>
      <c r="S32" s="6"/>
    </row>
    <row r="33" spans="1:19" ht="34" x14ac:dyDescent="0.2">
      <c r="A33" s="14"/>
      <c r="B33" s="22" t="s">
        <v>54</v>
      </c>
      <c r="C33" s="22" t="s">
        <v>89</v>
      </c>
      <c r="D33" s="23" t="s">
        <v>90</v>
      </c>
      <c r="E33" s="6"/>
      <c r="F33" s="6" t="s">
        <v>22</v>
      </c>
      <c r="G33" s="6"/>
      <c r="H33" s="6"/>
      <c r="I33" s="6">
        <v>17</v>
      </c>
      <c r="J33" s="6"/>
      <c r="K33" s="6">
        <v>1</v>
      </c>
      <c r="L33" s="6"/>
      <c r="M33" s="6"/>
      <c r="N33" s="6"/>
      <c r="O33" s="6"/>
      <c r="P33" s="6"/>
      <c r="Q33" s="6"/>
      <c r="R33" s="6"/>
      <c r="S33" s="6"/>
    </row>
    <row r="34" spans="1:19" ht="34" x14ac:dyDescent="0.2">
      <c r="A34" s="14"/>
      <c r="B34" s="22" t="s">
        <v>54</v>
      </c>
      <c r="C34" s="22" t="s">
        <v>91</v>
      </c>
      <c r="D34" s="23" t="s">
        <v>92</v>
      </c>
      <c r="E34" s="6"/>
      <c r="F34" s="6" t="s">
        <v>22</v>
      </c>
      <c r="G34" s="6"/>
      <c r="H34" s="6"/>
      <c r="I34" s="6">
        <v>17</v>
      </c>
      <c r="J34" s="6"/>
      <c r="K34" s="6">
        <v>1</v>
      </c>
      <c r="L34" s="6"/>
      <c r="M34" s="6"/>
      <c r="N34" s="6"/>
      <c r="O34" s="6"/>
      <c r="P34" s="6"/>
      <c r="Q34" s="6"/>
      <c r="R34" s="6"/>
      <c r="S34" s="6"/>
    </row>
    <row r="35" spans="1:19" ht="34" x14ac:dyDescent="0.2">
      <c r="A35" s="14"/>
      <c r="B35" s="22" t="s">
        <v>54</v>
      </c>
      <c r="C35" s="22" t="s">
        <v>93</v>
      </c>
      <c r="D35" s="23" t="s">
        <v>94</v>
      </c>
      <c r="E35" s="6"/>
      <c r="F35" s="6" t="s">
        <v>22</v>
      </c>
      <c r="G35" s="6"/>
      <c r="H35" s="6"/>
      <c r="I35" s="6">
        <v>17</v>
      </c>
      <c r="J35" s="6"/>
      <c r="K35" s="6">
        <v>1</v>
      </c>
      <c r="L35" s="6"/>
      <c r="M35" s="6"/>
      <c r="N35" s="6"/>
      <c r="O35" s="6"/>
      <c r="P35" s="6"/>
      <c r="Q35" s="6"/>
      <c r="R35" s="6"/>
      <c r="S35" s="6"/>
    </row>
    <row r="36" spans="1:19" ht="34" x14ac:dyDescent="0.2">
      <c r="A36" s="14"/>
      <c r="B36" s="22" t="s">
        <v>54</v>
      </c>
      <c r="C36" s="22" t="s">
        <v>95</v>
      </c>
      <c r="D36" s="23" t="s">
        <v>96</v>
      </c>
      <c r="E36" s="6"/>
      <c r="F36" s="6" t="s">
        <v>22</v>
      </c>
      <c r="G36" s="6"/>
      <c r="H36" s="6"/>
      <c r="I36" s="6">
        <v>17</v>
      </c>
      <c r="J36" s="6"/>
      <c r="K36" s="6">
        <v>1</v>
      </c>
      <c r="L36" s="6"/>
      <c r="M36" s="6"/>
      <c r="N36" s="6"/>
      <c r="O36" s="6"/>
      <c r="P36" s="6"/>
      <c r="Q36" s="6"/>
      <c r="R36" s="6"/>
      <c r="S36" s="6"/>
    </row>
    <row r="37" spans="1:19" ht="34" x14ac:dyDescent="0.2">
      <c r="A37" s="14"/>
      <c r="B37" s="22" t="s">
        <v>54</v>
      </c>
      <c r="C37" s="22" t="s">
        <v>97</v>
      </c>
      <c r="D37" s="23" t="s">
        <v>98</v>
      </c>
      <c r="E37" s="6" t="s">
        <v>22</v>
      </c>
      <c r="F37" s="6"/>
      <c r="G37" s="6"/>
      <c r="H37" s="6"/>
      <c r="I37" s="6">
        <v>17</v>
      </c>
      <c r="J37" s="6"/>
      <c r="K37" s="6">
        <v>1</v>
      </c>
      <c r="L37" s="6"/>
      <c r="M37" s="6"/>
      <c r="N37" s="6"/>
      <c r="O37" s="6"/>
      <c r="P37" s="6"/>
      <c r="Q37" s="6"/>
      <c r="R37" s="6"/>
      <c r="S37" s="6"/>
    </row>
    <row r="38" spans="1:19" ht="51" x14ac:dyDescent="0.2">
      <c r="A38" s="14"/>
      <c r="B38" s="22" t="s">
        <v>54</v>
      </c>
      <c r="C38" s="22" t="s">
        <v>99</v>
      </c>
      <c r="D38" s="23" t="s">
        <v>100</v>
      </c>
      <c r="E38" s="6"/>
      <c r="F38" s="6"/>
      <c r="G38" s="6" t="s">
        <v>22</v>
      </c>
      <c r="H38" s="6"/>
      <c r="I38" s="6">
        <v>26</v>
      </c>
      <c r="J38" s="6"/>
      <c r="K38" s="6"/>
      <c r="L38" s="6"/>
      <c r="M38" s="6"/>
      <c r="N38" s="6">
        <v>1</v>
      </c>
      <c r="O38" s="6">
        <v>1</v>
      </c>
      <c r="P38" s="6"/>
      <c r="Q38" s="6"/>
      <c r="R38" s="6"/>
      <c r="S38" s="6"/>
    </row>
    <row r="39" spans="1:19" ht="51" x14ac:dyDescent="0.2">
      <c r="A39" s="15"/>
      <c r="B39" s="24" t="s">
        <v>54</v>
      </c>
      <c r="C39" s="24" t="s">
        <v>101</v>
      </c>
      <c r="D39" s="25" t="s">
        <v>102</v>
      </c>
      <c r="E39" s="7"/>
      <c r="F39" s="7"/>
      <c r="G39" s="7" t="s">
        <v>22</v>
      </c>
      <c r="H39" s="7"/>
      <c r="I39" s="7">
        <v>26</v>
      </c>
      <c r="J39" s="7"/>
      <c r="K39" s="7"/>
      <c r="L39" s="7"/>
      <c r="M39" s="7"/>
      <c r="N39" s="7">
        <v>1</v>
      </c>
      <c r="O39" s="7">
        <v>1</v>
      </c>
      <c r="P39" s="7"/>
      <c r="Q39" s="7"/>
      <c r="R39" s="7"/>
      <c r="S39" s="7"/>
    </row>
    <row r="40" spans="1:19" ht="34" x14ac:dyDescent="0.2">
      <c r="A40" s="16" t="s">
        <v>103</v>
      </c>
      <c r="B40" s="2" t="s">
        <v>54</v>
      </c>
      <c r="C40" s="2" t="s">
        <v>104</v>
      </c>
      <c r="D40" s="3" t="s">
        <v>105</v>
      </c>
      <c r="E40" t="s">
        <v>22</v>
      </c>
      <c r="I40">
        <v>38</v>
      </c>
      <c r="K40">
        <v>1</v>
      </c>
      <c r="L40">
        <v>1</v>
      </c>
    </row>
    <row r="41" spans="1:19" ht="34" x14ac:dyDescent="0.2">
      <c r="A41" s="16"/>
      <c r="B41" s="2" t="s">
        <v>54</v>
      </c>
      <c r="C41" s="2" t="s">
        <v>106</v>
      </c>
      <c r="D41" s="3" t="s">
        <v>105</v>
      </c>
      <c r="E41" t="s">
        <v>22</v>
      </c>
      <c r="I41">
        <v>38</v>
      </c>
      <c r="K41">
        <v>1</v>
      </c>
      <c r="L41">
        <v>1</v>
      </c>
    </row>
    <row r="42" spans="1:19" ht="34" x14ac:dyDescent="0.2">
      <c r="A42" s="17" t="s">
        <v>107</v>
      </c>
      <c r="B42" s="26" t="s">
        <v>54</v>
      </c>
      <c r="C42" s="26" t="s">
        <v>108</v>
      </c>
      <c r="D42" s="27" t="s">
        <v>109</v>
      </c>
      <c r="E42" s="8" t="s">
        <v>22</v>
      </c>
      <c r="F42" s="8"/>
      <c r="G42" s="8"/>
      <c r="H42" s="8"/>
      <c r="I42" s="8">
        <v>34</v>
      </c>
      <c r="J42" s="8"/>
      <c r="K42" s="8"/>
      <c r="L42" s="8">
        <v>1</v>
      </c>
      <c r="M42" s="8">
        <v>1</v>
      </c>
      <c r="N42" s="8"/>
      <c r="O42" s="8"/>
      <c r="P42" s="8"/>
      <c r="Q42" s="8"/>
      <c r="R42" s="8"/>
      <c r="S42" s="8"/>
    </row>
    <row r="43" spans="1:19" ht="34" x14ac:dyDescent="0.2">
      <c r="A43" s="14"/>
      <c r="B43" s="22" t="s">
        <v>54</v>
      </c>
      <c r="C43" s="22" t="s">
        <v>110</v>
      </c>
      <c r="D43" s="23" t="s">
        <v>111</v>
      </c>
      <c r="E43" s="6" t="s">
        <v>22</v>
      </c>
      <c r="F43" s="6"/>
      <c r="G43" s="6"/>
      <c r="H43" s="6"/>
      <c r="I43" s="6">
        <v>31</v>
      </c>
      <c r="J43" s="6"/>
      <c r="K43" s="6"/>
      <c r="L43" s="6">
        <v>1</v>
      </c>
      <c r="M43" s="6">
        <v>1</v>
      </c>
      <c r="N43" s="6"/>
      <c r="O43" s="6"/>
      <c r="P43" s="6"/>
      <c r="Q43" s="6"/>
      <c r="R43" s="6"/>
      <c r="S43" s="6"/>
    </row>
    <row r="44" spans="1:19" ht="51" x14ac:dyDescent="0.2">
      <c r="A44" s="15"/>
      <c r="B44" s="24" t="s">
        <v>54</v>
      </c>
      <c r="C44" s="24" t="s">
        <v>112</v>
      </c>
      <c r="D44" s="25" t="s">
        <v>113</v>
      </c>
      <c r="E44" s="7" t="s">
        <v>22</v>
      </c>
      <c r="F44" s="7"/>
      <c r="G44" s="7"/>
      <c r="H44" s="7"/>
      <c r="I44" s="7">
        <v>24</v>
      </c>
      <c r="J44" s="7"/>
      <c r="K44" s="7"/>
      <c r="L44" s="7">
        <v>1</v>
      </c>
      <c r="M44" s="7">
        <v>1</v>
      </c>
      <c r="N44" s="7"/>
      <c r="O44" s="7"/>
      <c r="P44" s="7"/>
      <c r="Q44" s="7"/>
      <c r="R44" s="7"/>
      <c r="S44" s="7"/>
    </row>
    <row r="45" spans="1:19" ht="34" x14ac:dyDescent="0.2">
      <c r="A45" s="16" t="s">
        <v>336</v>
      </c>
      <c r="B45" s="2" t="s">
        <v>54</v>
      </c>
      <c r="C45" s="2" t="s">
        <v>114</v>
      </c>
      <c r="D45" s="3" t="s">
        <v>115</v>
      </c>
      <c r="E45" t="s">
        <v>22</v>
      </c>
      <c r="I45">
        <v>22</v>
      </c>
      <c r="L45">
        <v>1</v>
      </c>
      <c r="M45">
        <v>1</v>
      </c>
    </row>
    <row r="46" spans="1:19" ht="34" x14ac:dyDescent="0.2">
      <c r="A46" s="16"/>
      <c r="B46" s="2" t="s">
        <v>54</v>
      </c>
      <c r="C46" s="2" t="s">
        <v>116</v>
      </c>
      <c r="D46" s="3" t="s">
        <v>117</v>
      </c>
      <c r="E46" t="s">
        <v>22</v>
      </c>
      <c r="I46">
        <v>24</v>
      </c>
      <c r="L46">
        <v>1</v>
      </c>
      <c r="M46">
        <v>1</v>
      </c>
    </row>
    <row r="47" spans="1:19" ht="34" x14ac:dyDescent="0.2">
      <c r="A47" s="16"/>
      <c r="B47" s="2" t="s">
        <v>54</v>
      </c>
      <c r="C47" s="2" t="s">
        <v>118</v>
      </c>
      <c r="D47" s="3" t="s">
        <v>119</v>
      </c>
      <c r="E47" t="s">
        <v>22</v>
      </c>
      <c r="I47">
        <v>24</v>
      </c>
      <c r="L47">
        <v>1</v>
      </c>
      <c r="M47">
        <v>1</v>
      </c>
    </row>
    <row r="48" spans="1:19" ht="34" x14ac:dyDescent="0.2">
      <c r="A48" s="16"/>
      <c r="B48" s="2" t="s">
        <v>54</v>
      </c>
      <c r="C48" s="2" t="s">
        <v>120</v>
      </c>
      <c r="D48" s="3" t="s">
        <v>121</v>
      </c>
      <c r="E48" t="s">
        <v>22</v>
      </c>
      <c r="I48">
        <v>23</v>
      </c>
      <c r="L48">
        <v>1</v>
      </c>
      <c r="M48">
        <v>1</v>
      </c>
    </row>
    <row r="49" spans="1:19" ht="34" x14ac:dyDescent="0.2">
      <c r="A49" s="16"/>
      <c r="B49" s="2" t="s">
        <v>54</v>
      </c>
      <c r="C49" s="2" t="s">
        <v>122</v>
      </c>
      <c r="D49" s="3" t="s">
        <v>123</v>
      </c>
      <c r="E49" t="s">
        <v>22</v>
      </c>
      <c r="I49">
        <v>23</v>
      </c>
      <c r="L49">
        <v>1</v>
      </c>
      <c r="M49">
        <v>1</v>
      </c>
    </row>
    <row r="50" spans="1:19" ht="34" x14ac:dyDescent="0.2">
      <c r="A50" s="16"/>
      <c r="B50" s="2" t="s">
        <v>54</v>
      </c>
      <c r="C50" s="2" t="s">
        <v>124</v>
      </c>
      <c r="D50" s="3" t="s">
        <v>125</v>
      </c>
      <c r="E50" t="s">
        <v>22</v>
      </c>
      <c r="I50">
        <v>23</v>
      </c>
      <c r="L50">
        <v>1</v>
      </c>
      <c r="M50">
        <v>1</v>
      </c>
    </row>
    <row r="51" spans="1:19" ht="34" x14ac:dyDescent="0.2">
      <c r="A51" s="16"/>
      <c r="B51" s="2" t="s">
        <v>54</v>
      </c>
      <c r="C51" s="2" t="s">
        <v>126</v>
      </c>
      <c r="D51" s="3" t="s">
        <v>127</v>
      </c>
      <c r="F51" t="s">
        <v>22</v>
      </c>
      <c r="I51">
        <v>20</v>
      </c>
      <c r="L51">
        <v>1</v>
      </c>
    </row>
    <row r="52" spans="1:19" ht="34" x14ac:dyDescent="0.2">
      <c r="A52" s="16"/>
      <c r="B52" s="2" t="s">
        <v>54</v>
      </c>
      <c r="C52" s="2" t="s">
        <v>128</v>
      </c>
      <c r="D52" s="3" t="s">
        <v>129</v>
      </c>
      <c r="E52" t="s">
        <v>22</v>
      </c>
      <c r="I52">
        <v>23</v>
      </c>
      <c r="L52">
        <v>1</v>
      </c>
      <c r="M52">
        <v>1</v>
      </c>
    </row>
    <row r="53" spans="1:19" ht="34" x14ac:dyDescent="0.2">
      <c r="A53" s="18" t="s">
        <v>130</v>
      </c>
      <c r="B53" s="28" t="s">
        <v>54</v>
      </c>
      <c r="C53" s="28" t="s">
        <v>131</v>
      </c>
      <c r="D53" s="9" t="s">
        <v>132</v>
      </c>
      <c r="E53" s="10" t="s">
        <v>22</v>
      </c>
      <c r="F53" s="10"/>
      <c r="G53" s="10"/>
      <c r="H53" s="10"/>
      <c r="I53" s="10">
        <v>25</v>
      </c>
      <c r="J53" s="10"/>
      <c r="K53" s="10"/>
      <c r="L53" s="10">
        <v>1</v>
      </c>
      <c r="M53" s="10">
        <v>1</v>
      </c>
      <c r="N53" s="10"/>
      <c r="O53" s="10"/>
      <c r="P53" s="10"/>
      <c r="Q53" s="10"/>
      <c r="R53" s="10"/>
      <c r="S53" s="10"/>
    </row>
    <row r="54" spans="1:19" ht="34" x14ac:dyDescent="0.2">
      <c r="A54" s="19" t="s">
        <v>133</v>
      </c>
      <c r="B54" s="2" t="s">
        <v>54</v>
      </c>
      <c r="C54" s="2" t="s">
        <v>134</v>
      </c>
      <c r="D54" s="3" t="s">
        <v>135</v>
      </c>
      <c r="E54" t="s">
        <v>22</v>
      </c>
      <c r="I54">
        <v>37</v>
      </c>
      <c r="L54">
        <v>1</v>
      </c>
      <c r="M54">
        <v>1</v>
      </c>
    </row>
    <row r="55" spans="1:19" ht="34" x14ac:dyDescent="0.2">
      <c r="A55" s="18" t="s">
        <v>136</v>
      </c>
      <c r="B55" s="28" t="s">
        <v>54</v>
      </c>
      <c r="C55" s="28" t="s">
        <v>137</v>
      </c>
      <c r="D55" s="9" t="s">
        <v>138</v>
      </c>
      <c r="E55" s="10" t="s">
        <v>22</v>
      </c>
      <c r="F55" s="10"/>
      <c r="G55" s="10"/>
      <c r="H55" s="10"/>
      <c r="I55" s="10">
        <v>26</v>
      </c>
      <c r="J55" s="10"/>
      <c r="K55" s="10"/>
      <c r="L55" s="10">
        <v>1</v>
      </c>
      <c r="M55" s="10">
        <v>1</v>
      </c>
      <c r="N55" s="10"/>
      <c r="O55" s="10"/>
      <c r="P55" s="10"/>
      <c r="Q55" s="10"/>
      <c r="R55" s="10"/>
      <c r="S55" s="10"/>
    </row>
    <row r="56" spans="1:19" ht="34" x14ac:dyDescent="0.2">
      <c r="A56" s="16" t="s">
        <v>139</v>
      </c>
      <c r="B56" s="2" t="s">
        <v>54</v>
      </c>
      <c r="C56" s="2" t="s">
        <v>140</v>
      </c>
      <c r="D56" s="3" t="s">
        <v>141</v>
      </c>
      <c r="E56" t="s">
        <v>22</v>
      </c>
      <c r="I56">
        <v>22</v>
      </c>
      <c r="L56">
        <v>1</v>
      </c>
      <c r="M56">
        <v>1</v>
      </c>
    </row>
    <row r="57" spans="1:19" ht="34" x14ac:dyDescent="0.2">
      <c r="A57" s="16"/>
      <c r="B57" s="2" t="s">
        <v>54</v>
      </c>
      <c r="C57" s="2" t="s">
        <v>142</v>
      </c>
      <c r="D57" s="3" t="s">
        <v>143</v>
      </c>
      <c r="E57" t="s">
        <v>22</v>
      </c>
      <c r="I57">
        <v>22</v>
      </c>
      <c r="L57">
        <v>1</v>
      </c>
      <c r="M57">
        <v>1</v>
      </c>
    </row>
    <row r="58" spans="1:19" ht="34" x14ac:dyDescent="0.2">
      <c r="A58" s="16"/>
      <c r="B58" s="2" t="s">
        <v>54</v>
      </c>
      <c r="C58" s="2" t="s">
        <v>144</v>
      </c>
      <c r="D58" s="3" t="s">
        <v>145</v>
      </c>
      <c r="E58" t="s">
        <v>22</v>
      </c>
      <c r="I58">
        <v>22</v>
      </c>
      <c r="L58">
        <v>1</v>
      </c>
      <c r="M58">
        <v>1</v>
      </c>
    </row>
    <row r="59" spans="1:19" ht="34" x14ac:dyDescent="0.2">
      <c r="A59" s="16"/>
      <c r="B59" s="2" t="s">
        <v>54</v>
      </c>
      <c r="C59" s="2" t="s">
        <v>146</v>
      </c>
      <c r="D59" s="3" t="s">
        <v>147</v>
      </c>
      <c r="E59" t="s">
        <v>22</v>
      </c>
      <c r="I59">
        <v>22</v>
      </c>
      <c r="M59">
        <v>1</v>
      </c>
    </row>
    <row r="60" spans="1:19" ht="34" x14ac:dyDescent="0.2">
      <c r="A60" s="16"/>
      <c r="B60" s="2" t="s">
        <v>54</v>
      </c>
      <c r="C60" s="2" t="s">
        <v>148</v>
      </c>
      <c r="D60" s="3" t="s">
        <v>149</v>
      </c>
      <c r="E60" t="s">
        <v>22</v>
      </c>
      <c r="I60">
        <v>25</v>
      </c>
      <c r="M60">
        <v>1</v>
      </c>
    </row>
    <row r="61" spans="1:19" ht="51" x14ac:dyDescent="0.2">
      <c r="A61" s="18" t="s">
        <v>150</v>
      </c>
      <c r="B61" s="28" t="s">
        <v>54</v>
      </c>
      <c r="C61" s="28" t="s">
        <v>151</v>
      </c>
      <c r="D61" s="9" t="s">
        <v>152</v>
      </c>
      <c r="E61" s="10" t="s">
        <v>22</v>
      </c>
      <c r="F61" s="10"/>
      <c r="G61" s="10"/>
      <c r="H61" s="10"/>
      <c r="I61" s="10">
        <v>28</v>
      </c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</row>
    <row r="62" spans="1:19" ht="51" x14ac:dyDescent="0.2">
      <c r="A62" s="19" t="s">
        <v>153</v>
      </c>
      <c r="B62" s="2" t="s">
        <v>54</v>
      </c>
      <c r="C62" s="2" t="s">
        <v>154</v>
      </c>
      <c r="D62" s="3" t="s">
        <v>155</v>
      </c>
      <c r="E62" t="s">
        <v>22</v>
      </c>
      <c r="I62">
        <v>26</v>
      </c>
      <c r="M62">
        <v>1</v>
      </c>
    </row>
    <row r="63" spans="1:19" ht="34" x14ac:dyDescent="0.2">
      <c r="A63" s="17" t="s">
        <v>156</v>
      </c>
      <c r="B63" s="26" t="s">
        <v>54</v>
      </c>
      <c r="C63" s="26" t="s">
        <v>157</v>
      </c>
      <c r="D63" s="27" t="s">
        <v>158</v>
      </c>
      <c r="E63" s="8" t="s">
        <v>22</v>
      </c>
      <c r="F63" s="8"/>
      <c r="G63" s="8"/>
      <c r="H63" s="8"/>
      <c r="I63" s="8">
        <v>22</v>
      </c>
      <c r="J63" s="8"/>
      <c r="K63" s="8"/>
      <c r="L63" s="8"/>
      <c r="M63" s="8">
        <v>1</v>
      </c>
      <c r="N63" s="8"/>
      <c r="O63" s="8"/>
      <c r="P63" s="8"/>
      <c r="Q63" s="8"/>
      <c r="R63" s="8"/>
      <c r="S63" s="8"/>
    </row>
    <row r="64" spans="1:19" ht="34" x14ac:dyDescent="0.2">
      <c r="A64" s="14"/>
      <c r="B64" s="22" t="s">
        <v>54</v>
      </c>
      <c r="C64" s="22" t="s">
        <v>159</v>
      </c>
      <c r="D64" s="23" t="s">
        <v>160</v>
      </c>
      <c r="E64" s="6" t="s">
        <v>22</v>
      </c>
      <c r="F64" s="6"/>
      <c r="G64" s="6"/>
      <c r="H64" s="6"/>
      <c r="I64" s="6">
        <v>25</v>
      </c>
      <c r="J64" s="6"/>
      <c r="K64" s="6"/>
      <c r="L64" s="6"/>
      <c r="M64" s="6">
        <v>1</v>
      </c>
      <c r="N64" s="6"/>
      <c r="O64" s="6"/>
      <c r="P64" s="6"/>
      <c r="Q64" s="6"/>
      <c r="R64" s="6"/>
      <c r="S64" s="6"/>
    </row>
    <row r="65" spans="1:19" ht="34" x14ac:dyDescent="0.2">
      <c r="A65" s="15"/>
      <c r="B65" s="24" t="s">
        <v>54</v>
      </c>
      <c r="C65" s="24" t="s">
        <v>161</v>
      </c>
      <c r="D65" s="25" t="s">
        <v>162</v>
      </c>
      <c r="E65" s="7" t="s">
        <v>22</v>
      </c>
      <c r="F65" s="7"/>
      <c r="G65" s="7"/>
      <c r="H65" s="7"/>
      <c r="I65" s="7">
        <v>31</v>
      </c>
      <c r="J65" s="7"/>
      <c r="K65" s="7"/>
      <c r="L65" s="7"/>
      <c r="M65" s="7">
        <v>1</v>
      </c>
      <c r="N65" s="7"/>
      <c r="O65" s="7"/>
      <c r="P65" s="7"/>
      <c r="Q65" s="7"/>
      <c r="R65" s="7"/>
      <c r="S65" s="7"/>
    </row>
    <row r="66" spans="1:19" ht="34" x14ac:dyDescent="0.2">
      <c r="A66" s="16" t="s">
        <v>163</v>
      </c>
      <c r="B66" s="2" t="s">
        <v>54</v>
      </c>
      <c r="C66" s="2" t="s">
        <v>164</v>
      </c>
      <c r="D66" s="3" t="s">
        <v>165</v>
      </c>
      <c r="E66" t="s">
        <v>22</v>
      </c>
      <c r="I66">
        <v>44</v>
      </c>
      <c r="M66">
        <v>1</v>
      </c>
    </row>
    <row r="67" spans="1:19" ht="34" x14ac:dyDescent="0.2">
      <c r="A67" s="16"/>
      <c r="B67" s="2" t="s">
        <v>54</v>
      </c>
      <c r="C67" s="2" t="s">
        <v>166</v>
      </c>
      <c r="D67" s="3" t="s">
        <v>167</v>
      </c>
      <c r="E67" t="s">
        <v>22</v>
      </c>
      <c r="I67">
        <v>44</v>
      </c>
      <c r="M67">
        <v>1</v>
      </c>
    </row>
    <row r="68" spans="1:19" ht="34" x14ac:dyDescent="0.2">
      <c r="A68" s="17" t="s">
        <v>168</v>
      </c>
      <c r="B68" s="26" t="s">
        <v>54</v>
      </c>
      <c r="C68" s="26" t="s">
        <v>169</v>
      </c>
      <c r="D68" s="27" t="s">
        <v>170</v>
      </c>
      <c r="E68" s="8"/>
      <c r="F68" s="8" t="s">
        <v>22</v>
      </c>
      <c r="G68" s="8"/>
      <c r="H68" s="8"/>
      <c r="I68" s="8">
        <v>29</v>
      </c>
      <c r="J68" s="8"/>
      <c r="K68" s="8"/>
      <c r="L68" s="8"/>
      <c r="M68" s="8">
        <v>1</v>
      </c>
      <c r="N68" s="8"/>
      <c r="O68" s="8"/>
      <c r="P68" s="8"/>
      <c r="Q68" s="8"/>
      <c r="R68" s="8"/>
      <c r="S68" s="8"/>
    </row>
    <row r="69" spans="1:19" ht="34" x14ac:dyDescent="0.2">
      <c r="A69" s="14"/>
      <c r="B69" s="22" t="s">
        <v>54</v>
      </c>
      <c r="C69" s="22" t="s">
        <v>171</v>
      </c>
      <c r="D69" s="23" t="s">
        <v>170</v>
      </c>
      <c r="E69" s="6"/>
      <c r="F69" s="6" t="s">
        <v>22</v>
      </c>
      <c r="G69" s="6"/>
      <c r="H69" s="6"/>
      <c r="I69" s="6">
        <v>29</v>
      </c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</row>
    <row r="70" spans="1:19" ht="34" x14ac:dyDescent="0.2">
      <c r="A70" s="14"/>
      <c r="B70" s="22" t="s">
        <v>54</v>
      </c>
      <c r="C70" s="22" t="s">
        <v>172</v>
      </c>
      <c r="D70" s="23" t="s">
        <v>170</v>
      </c>
      <c r="E70" s="6"/>
      <c r="F70" s="6"/>
      <c r="G70" s="6" t="s">
        <v>22</v>
      </c>
      <c r="H70" s="6"/>
      <c r="I70" s="6">
        <v>46</v>
      </c>
      <c r="J70" s="6"/>
      <c r="K70" s="6"/>
      <c r="L70" s="6"/>
      <c r="M70" s="6"/>
      <c r="N70" s="6">
        <v>1</v>
      </c>
      <c r="O70" s="6">
        <v>1</v>
      </c>
      <c r="P70" s="6"/>
      <c r="Q70" s="6"/>
      <c r="R70" s="6"/>
      <c r="S70" s="6"/>
    </row>
    <row r="71" spans="1:19" ht="34" x14ac:dyDescent="0.2">
      <c r="A71" s="14"/>
      <c r="B71" s="22" t="s">
        <v>54</v>
      </c>
      <c r="C71" s="22" t="s">
        <v>173</v>
      </c>
      <c r="D71" s="23" t="s">
        <v>170</v>
      </c>
      <c r="E71" s="6"/>
      <c r="F71" s="6"/>
      <c r="G71" s="6" t="s">
        <v>22</v>
      </c>
      <c r="H71" s="6"/>
      <c r="I71" s="6">
        <v>46</v>
      </c>
      <c r="J71" s="6"/>
      <c r="K71" s="6"/>
      <c r="L71" s="6"/>
      <c r="M71" s="6"/>
      <c r="N71" s="6">
        <v>1</v>
      </c>
      <c r="O71" s="6">
        <v>1</v>
      </c>
      <c r="P71" s="6"/>
      <c r="Q71" s="6"/>
      <c r="R71" s="6"/>
      <c r="S71" s="6"/>
    </row>
    <row r="72" spans="1:19" ht="34" x14ac:dyDescent="0.2">
      <c r="A72" s="14"/>
      <c r="B72" s="22" t="s">
        <v>54</v>
      </c>
      <c r="C72" s="22" t="s">
        <v>174</v>
      </c>
      <c r="D72" s="23" t="s">
        <v>170</v>
      </c>
      <c r="E72" s="6"/>
      <c r="F72" s="6"/>
      <c r="G72" s="6"/>
      <c r="H72" s="6" t="s">
        <v>22</v>
      </c>
      <c r="I72" s="6">
        <v>49</v>
      </c>
      <c r="J72" s="6"/>
      <c r="K72" s="6"/>
      <c r="L72" s="6"/>
      <c r="M72" s="6"/>
      <c r="N72" s="6">
        <v>1</v>
      </c>
      <c r="O72" s="6">
        <v>1</v>
      </c>
      <c r="P72" s="6"/>
      <c r="Q72" s="6"/>
      <c r="R72" s="6"/>
      <c r="S72" s="6"/>
    </row>
    <row r="73" spans="1:19" ht="34" x14ac:dyDescent="0.2">
      <c r="A73" s="14"/>
      <c r="B73" s="22" t="s">
        <v>54</v>
      </c>
      <c r="C73" s="22" t="s">
        <v>175</v>
      </c>
      <c r="D73" s="23" t="s">
        <v>170</v>
      </c>
      <c r="E73" s="6"/>
      <c r="F73" s="6"/>
      <c r="G73" s="6"/>
      <c r="H73" s="6" t="s">
        <v>22</v>
      </c>
      <c r="I73" s="6">
        <v>49</v>
      </c>
      <c r="J73" s="6"/>
      <c r="K73" s="6"/>
      <c r="L73" s="6"/>
      <c r="M73" s="6"/>
      <c r="N73" s="6">
        <v>1</v>
      </c>
      <c r="O73" s="6">
        <v>1</v>
      </c>
      <c r="P73" s="6"/>
      <c r="Q73" s="6"/>
      <c r="R73" s="6"/>
      <c r="S73" s="6"/>
    </row>
    <row r="74" spans="1:19" ht="34" x14ac:dyDescent="0.2">
      <c r="A74" s="14"/>
      <c r="B74" s="22" t="s">
        <v>54</v>
      </c>
      <c r="C74" s="22" t="s">
        <v>176</v>
      </c>
      <c r="D74" s="23" t="s">
        <v>170</v>
      </c>
      <c r="E74" s="6"/>
      <c r="F74" s="6"/>
      <c r="G74" s="6"/>
      <c r="H74" s="6" t="s">
        <v>22</v>
      </c>
      <c r="I74" s="6">
        <v>46</v>
      </c>
      <c r="J74" s="6"/>
      <c r="K74" s="6"/>
      <c r="L74" s="6"/>
      <c r="M74" s="6"/>
      <c r="N74" s="6">
        <v>1</v>
      </c>
      <c r="O74" s="6">
        <v>1</v>
      </c>
      <c r="P74" s="6"/>
      <c r="Q74" s="6"/>
      <c r="R74" s="6"/>
      <c r="S74" s="6"/>
    </row>
    <row r="75" spans="1:19" ht="34" x14ac:dyDescent="0.2">
      <c r="A75" s="15"/>
      <c r="B75" s="24" t="s">
        <v>54</v>
      </c>
      <c r="C75" s="24" t="s">
        <v>177</v>
      </c>
      <c r="D75" s="25" t="s">
        <v>170</v>
      </c>
      <c r="E75" s="7"/>
      <c r="F75" s="7"/>
      <c r="G75" s="7"/>
      <c r="H75" s="7" t="s">
        <v>22</v>
      </c>
      <c r="I75" s="7">
        <v>46</v>
      </c>
      <c r="J75" s="7"/>
      <c r="K75" s="7"/>
      <c r="L75" s="7"/>
      <c r="M75" s="7"/>
      <c r="N75" s="7">
        <v>1</v>
      </c>
      <c r="O75" s="7">
        <v>1</v>
      </c>
      <c r="P75" s="7"/>
      <c r="Q75" s="7"/>
      <c r="R75" s="7"/>
      <c r="S75" s="7"/>
    </row>
    <row r="76" spans="1:19" ht="51" x14ac:dyDescent="0.2">
      <c r="A76" s="16" t="s">
        <v>178</v>
      </c>
      <c r="B76" s="2" t="s">
        <v>54</v>
      </c>
      <c r="C76" s="2" t="s">
        <v>179</v>
      </c>
      <c r="D76" s="3" t="s">
        <v>180</v>
      </c>
      <c r="G76" t="s">
        <v>22</v>
      </c>
      <c r="I76">
        <v>32</v>
      </c>
      <c r="O76">
        <v>1</v>
      </c>
      <c r="P76">
        <v>1</v>
      </c>
    </row>
    <row r="77" spans="1:19" ht="51" x14ac:dyDescent="0.2">
      <c r="A77" s="16"/>
      <c r="B77" s="2" t="s">
        <v>54</v>
      </c>
      <c r="C77" s="2" t="s">
        <v>181</v>
      </c>
      <c r="D77" s="3" t="s">
        <v>182</v>
      </c>
      <c r="G77" t="s">
        <v>22</v>
      </c>
      <c r="I77">
        <v>32</v>
      </c>
      <c r="O77">
        <v>1</v>
      </c>
      <c r="P77">
        <v>1</v>
      </c>
    </row>
    <row r="78" spans="1:19" ht="34" x14ac:dyDescent="0.2">
      <c r="A78" s="16"/>
      <c r="B78" s="2" t="s">
        <v>54</v>
      </c>
      <c r="C78" s="2" t="s">
        <v>183</v>
      </c>
      <c r="D78" s="3" t="s">
        <v>184</v>
      </c>
      <c r="G78" t="s">
        <v>22</v>
      </c>
      <c r="I78">
        <v>33</v>
      </c>
      <c r="O78">
        <v>1</v>
      </c>
      <c r="P78">
        <v>1</v>
      </c>
    </row>
    <row r="79" spans="1:19" ht="34" x14ac:dyDescent="0.2">
      <c r="A79" s="16"/>
      <c r="B79" s="2" t="s">
        <v>54</v>
      </c>
      <c r="C79" s="2" t="s">
        <v>185</v>
      </c>
      <c r="D79" s="3" t="s">
        <v>186</v>
      </c>
      <c r="G79" t="s">
        <v>22</v>
      </c>
      <c r="I79">
        <v>33</v>
      </c>
      <c r="O79">
        <v>1</v>
      </c>
      <c r="P79">
        <v>1</v>
      </c>
    </row>
    <row r="80" spans="1:19" ht="34" x14ac:dyDescent="0.2">
      <c r="A80" s="17" t="s">
        <v>187</v>
      </c>
      <c r="B80" s="26" t="s">
        <v>54</v>
      </c>
      <c r="C80" s="26" t="s">
        <v>188</v>
      </c>
      <c r="D80" s="27" t="s">
        <v>189</v>
      </c>
      <c r="E80" s="8"/>
      <c r="F80" s="8"/>
      <c r="G80" s="8" t="s">
        <v>22</v>
      </c>
      <c r="H80" s="8"/>
      <c r="I80" s="8">
        <v>58</v>
      </c>
      <c r="J80" s="8"/>
      <c r="K80" s="8"/>
      <c r="L80" s="8"/>
      <c r="M80" s="8"/>
      <c r="N80" s="8"/>
      <c r="O80" s="8">
        <v>1</v>
      </c>
      <c r="P80" s="8">
        <v>1</v>
      </c>
      <c r="Q80" s="8"/>
      <c r="R80" s="8"/>
      <c r="S80" s="8"/>
    </row>
    <row r="81" spans="1:19" ht="34" x14ac:dyDescent="0.2">
      <c r="A81" s="14"/>
      <c r="B81" s="22" t="s">
        <v>54</v>
      </c>
      <c r="C81" s="22" t="s">
        <v>190</v>
      </c>
      <c r="D81" s="23" t="s">
        <v>189</v>
      </c>
      <c r="E81" s="6"/>
      <c r="F81" s="6"/>
      <c r="G81" s="6" t="s">
        <v>22</v>
      </c>
      <c r="H81" s="6"/>
      <c r="I81" s="6">
        <v>58</v>
      </c>
      <c r="J81" s="6"/>
      <c r="K81" s="6"/>
      <c r="L81" s="6"/>
      <c r="M81" s="6"/>
      <c r="N81" s="6"/>
      <c r="O81" s="6">
        <v>1</v>
      </c>
      <c r="P81" s="6">
        <v>1</v>
      </c>
      <c r="Q81" s="6"/>
      <c r="R81" s="6"/>
      <c r="S81" s="6"/>
    </row>
    <row r="82" spans="1:19" ht="34" x14ac:dyDescent="0.2">
      <c r="A82" s="14"/>
      <c r="B82" s="22" t="s">
        <v>54</v>
      </c>
      <c r="C82" s="22" t="s">
        <v>191</v>
      </c>
      <c r="D82" s="23" t="s">
        <v>192</v>
      </c>
      <c r="E82" s="6"/>
      <c r="F82" s="6"/>
      <c r="G82" s="6" t="s">
        <v>22</v>
      </c>
      <c r="H82" s="6"/>
      <c r="I82" s="6">
        <v>30</v>
      </c>
      <c r="J82" s="6"/>
      <c r="K82" s="6"/>
      <c r="L82" s="6"/>
      <c r="M82" s="6"/>
      <c r="N82" s="6"/>
      <c r="O82" s="6">
        <v>1</v>
      </c>
      <c r="P82" s="6">
        <v>1</v>
      </c>
      <c r="Q82" s="6"/>
      <c r="R82" s="6"/>
      <c r="S82" s="6"/>
    </row>
    <row r="83" spans="1:19" ht="34" x14ac:dyDescent="0.2">
      <c r="A83" s="14"/>
      <c r="B83" s="22" t="s">
        <v>54</v>
      </c>
      <c r="C83" s="22" t="s">
        <v>193</v>
      </c>
      <c r="D83" s="23" t="s">
        <v>194</v>
      </c>
      <c r="E83" s="6"/>
      <c r="F83" s="6"/>
      <c r="G83" s="6" t="s">
        <v>22</v>
      </c>
      <c r="H83" s="6"/>
      <c r="I83" s="6">
        <v>30</v>
      </c>
      <c r="J83" s="6"/>
      <c r="K83" s="6"/>
      <c r="L83" s="6"/>
      <c r="M83" s="6"/>
      <c r="N83" s="6"/>
      <c r="O83" s="6">
        <v>1</v>
      </c>
      <c r="P83" s="6">
        <v>1</v>
      </c>
      <c r="Q83" s="6"/>
      <c r="R83" s="6"/>
      <c r="S83" s="6"/>
    </row>
    <row r="84" spans="1:19" ht="34" x14ac:dyDescent="0.2">
      <c r="A84" s="14"/>
      <c r="B84" s="22" t="s">
        <v>54</v>
      </c>
      <c r="C84" s="22" t="s">
        <v>195</v>
      </c>
      <c r="D84" s="23" t="s">
        <v>196</v>
      </c>
      <c r="E84" s="6"/>
      <c r="F84" s="6"/>
      <c r="G84" s="6" t="s">
        <v>22</v>
      </c>
      <c r="H84" s="6"/>
      <c r="I84" s="6">
        <v>56</v>
      </c>
      <c r="J84" s="6"/>
      <c r="K84" s="6"/>
      <c r="L84" s="6"/>
      <c r="M84" s="6"/>
      <c r="N84" s="6"/>
      <c r="O84" s="6">
        <v>1</v>
      </c>
      <c r="P84" s="6">
        <v>1</v>
      </c>
      <c r="Q84" s="6"/>
      <c r="R84" s="6"/>
      <c r="S84" s="6"/>
    </row>
    <row r="85" spans="1:19" ht="34" x14ac:dyDescent="0.2">
      <c r="A85" s="14"/>
      <c r="B85" s="22" t="s">
        <v>54</v>
      </c>
      <c r="C85" s="22" t="s">
        <v>197</v>
      </c>
      <c r="D85" s="23" t="s">
        <v>198</v>
      </c>
      <c r="E85" s="6"/>
      <c r="F85" s="6"/>
      <c r="G85" s="6" t="s">
        <v>22</v>
      </c>
      <c r="H85" s="6"/>
      <c r="I85" s="6">
        <v>56</v>
      </c>
      <c r="J85" s="6"/>
      <c r="K85" s="6"/>
      <c r="L85" s="6"/>
      <c r="M85" s="6"/>
      <c r="N85" s="6"/>
      <c r="O85" s="6">
        <v>1</v>
      </c>
      <c r="P85" s="6">
        <v>1</v>
      </c>
      <c r="Q85" s="6"/>
      <c r="R85" s="6"/>
      <c r="S85" s="6"/>
    </row>
    <row r="86" spans="1:19" ht="34" x14ac:dyDescent="0.2">
      <c r="A86" s="14"/>
      <c r="B86" s="22" t="s">
        <v>54</v>
      </c>
      <c r="C86" s="22" t="s">
        <v>199</v>
      </c>
      <c r="D86" s="23" t="s">
        <v>200</v>
      </c>
      <c r="E86" s="6"/>
      <c r="F86" s="6"/>
      <c r="G86" s="6" t="s">
        <v>22</v>
      </c>
      <c r="H86" s="6"/>
      <c r="I86" s="6">
        <v>53</v>
      </c>
      <c r="J86" s="6"/>
      <c r="K86" s="6"/>
      <c r="L86" s="6"/>
      <c r="M86" s="6"/>
      <c r="N86" s="6"/>
      <c r="O86" s="6"/>
      <c r="P86" s="6">
        <v>1</v>
      </c>
      <c r="Q86" s="6">
        <v>1</v>
      </c>
      <c r="R86" s="6"/>
      <c r="S86" s="6"/>
    </row>
    <row r="87" spans="1:19" ht="34" x14ac:dyDescent="0.2">
      <c r="A87" s="15"/>
      <c r="B87" s="24" t="s">
        <v>54</v>
      </c>
      <c r="C87" s="24" t="s">
        <v>201</v>
      </c>
      <c r="D87" s="25" t="s">
        <v>200</v>
      </c>
      <c r="E87" s="7"/>
      <c r="F87" s="7"/>
      <c r="G87" s="7" t="s">
        <v>22</v>
      </c>
      <c r="H87" s="7"/>
      <c r="I87" s="7">
        <v>53</v>
      </c>
      <c r="J87" s="7"/>
      <c r="K87" s="7"/>
      <c r="L87" s="7"/>
      <c r="M87" s="7"/>
      <c r="N87" s="7"/>
      <c r="O87" s="7"/>
      <c r="P87" s="7">
        <v>1</v>
      </c>
      <c r="Q87" s="7">
        <v>1</v>
      </c>
      <c r="R87" s="7"/>
      <c r="S87" s="7"/>
    </row>
    <row r="88" spans="1:19" ht="34" x14ac:dyDescent="0.2">
      <c r="A88" s="16" t="s">
        <v>202</v>
      </c>
      <c r="B88" s="2" t="s">
        <v>54</v>
      </c>
      <c r="C88" s="2" t="s">
        <v>203</v>
      </c>
      <c r="D88" s="3" t="s">
        <v>204</v>
      </c>
      <c r="G88" t="s">
        <v>22</v>
      </c>
      <c r="I88">
        <v>47</v>
      </c>
      <c r="P88">
        <v>1</v>
      </c>
      <c r="Q88">
        <v>1</v>
      </c>
    </row>
    <row r="89" spans="1:19" ht="34" x14ac:dyDescent="0.2">
      <c r="A89" s="16"/>
      <c r="B89" s="2" t="s">
        <v>54</v>
      </c>
      <c r="C89" s="2" t="s">
        <v>205</v>
      </c>
      <c r="D89" s="3" t="s">
        <v>206</v>
      </c>
      <c r="G89" t="s">
        <v>22</v>
      </c>
      <c r="I89">
        <v>47</v>
      </c>
      <c r="P89">
        <v>1</v>
      </c>
      <c r="Q89">
        <v>1</v>
      </c>
    </row>
    <row r="90" spans="1:19" ht="34" x14ac:dyDescent="0.2">
      <c r="A90" s="17" t="s">
        <v>207</v>
      </c>
      <c r="B90" s="26" t="s">
        <v>54</v>
      </c>
      <c r="C90" s="26" t="s">
        <v>208</v>
      </c>
      <c r="D90" s="27" t="s">
        <v>209</v>
      </c>
      <c r="E90" s="8"/>
      <c r="F90" s="8"/>
      <c r="G90" s="8" t="s">
        <v>22</v>
      </c>
      <c r="H90" s="8"/>
      <c r="I90" s="8">
        <v>27</v>
      </c>
      <c r="J90" s="8"/>
      <c r="K90" s="8"/>
      <c r="L90" s="8"/>
      <c r="M90" s="8"/>
      <c r="N90" s="8"/>
      <c r="O90" s="8"/>
      <c r="P90" s="8">
        <v>1</v>
      </c>
      <c r="Q90" s="8">
        <v>1</v>
      </c>
      <c r="R90" s="8"/>
      <c r="S90" s="8"/>
    </row>
    <row r="91" spans="1:19" ht="34" x14ac:dyDescent="0.2">
      <c r="A91" s="14"/>
      <c r="B91" s="22" t="s">
        <v>54</v>
      </c>
      <c r="C91" s="22" t="s">
        <v>210</v>
      </c>
      <c r="D91" s="23" t="s">
        <v>211</v>
      </c>
      <c r="E91" s="6"/>
      <c r="F91" s="6"/>
      <c r="G91" s="6" t="s">
        <v>22</v>
      </c>
      <c r="H91" s="6"/>
      <c r="I91" s="6">
        <v>27</v>
      </c>
      <c r="J91" s="6"/>
      <c r="K91" s="6"/>
      <c r="L91" s="6"/>
      <c r="M91" s="6"/>
      <c r="N91" s="6"/>
      <c r="O91" s="6"/>
      <c r="P91" s="6">
        <v>1</v>
      </c>
      <c r="Q91" s="6">
        <v>1</v>
      </c>
      <c r="R91" s="6"/>
      <c r="S91" s="6"/>
    </row>
    <row r="92" spans="1:19" ht="34" x14ac:dyDescent="0.2">
      <c r="A92" s="14"/>
      <c r="B92" s="22" t="s">
        <v>54</v>
      </c>
      <c r="C92" s="22" t="s">
        <v>212</v>
      </c>
      <c r="D92" s="23" t="s">
        <v>213</v>
      </c>
      <c r="E92" s="6"/>
      <c r="F92" s="6"/>
      <c r="G92" s="6" t="s">
        <v>22</v>
      </c>
      <c r="H92" s="6"/>
      <c r="I92" s="6">
        <v>24</v>
      </c>
      <c r="J92" s="6"/>
      <c r="K92" s="6"/>
      <c r="L92" s="6"/>
      <c r="M92" s="6"/>
      <c r="N92" s="6"/>
      <c r="O92" s="6"/>
      <c r="P92" s="6">
        <v>1</v>
      </c>
      <c r="Q92" s="6"/>
      <c r="R92" s="6"/>
      <c r="S92" s="6"/>
    </row>
    <row r="93" spans="1:19" ht="34" x14ac:dyDescent="0.2">
      <c r="A93" s="15"/>
      <c r="B93" s="24" t="s">
        <v>54</v>
      </c>
      <c r="C93" s="24" t="s">
        <v>214</v>
      </c>
      <c r="D93" s="25" t="s">
        <v>215</v>
      </c>
      <c r="E93" s="7"/>
      <c r="F93" s="7"/>
      <c r="G93" s="7" t="s">
        <v>22</v>
      </c>
      <c r="H93" s="7"/>
      <c r="I93" s="7">
        <v>24</v>
      </c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</row>
    <row r="94" spans="1:19" ht="34" x14ac:dyDescent="0.2">
      <c r="A94" s="16" t="s">
        <v>216</v>
      </c>
      <c r="B94" s="2" t="s">
        <v>54</v>
      </c>
      <c r="C94" s="2" t="s">
        <v>217</v>
      </c>
      <c r="D94" s="3" t="s">
        <v>218</v>
      </c>
      <c r="F94" t="s">
        <v>22</v>
      </c>
      <c r="I94">
        <v>25</v>
      </c>
      <c r="M94">
        <v>1</v>
      </c>
    </row>
    <row r="95" spans="1:19" ht="34" x14ac:dyDescent="0.2">
      <c r="A95" s="16"/>
      <c r="B95" s="2" t="s">
        <v>54</v>
      </c>
      <c r="C95" s="2" t="s">
        <v>219</v>
      </c>
      <c r="D95" s="3" t="s">
        <v>220</v>
      </c>
      <c r="F95" t="s">
        <v>22</v>
      </c>
      <c r="I95">
        <v>25</v>
      </c>
      <c r="M95">
        <v>1</v>
      </c>
    </row>
    <row r="96" spans="1:19" ht="34" x14ac:dyDescent="0.2">
      <c r="A96" s="16"/>
      <c r="B96" s="2" t="s">
        <v>54</v>
      </c>
      <c r="C96" s="2" t="s">
        <v>221</v>
      </c>
      <c r="D96" s="3" t="s">
        <v>222</v>
      </c>
      <c r="E96" t="s">
        <v>22</v>
      </c>
      <c r="I96">
        <v>25</v>
      </c>
      <c r="M96">
        <v>1</v>
      </c>
    </row>
    <row r="97" spans="1:19" ht="34" x14ac:dyDescent="0.2">
      <c r="A97" s="16"/>
      <c r="B97" s="2" t="s">
        <v>54</v>
      </c>
      <c r="C97" s="2" t="s">
        <v>223</v>
      </c>
      <c r="D97" s="3" t="s">
        <v>224</v>
      </c>
      <c r="E97" t="s">
        <v>22</v>
      </c>
      <c r="I97">
        <v>25</v>
      </c>
      <c r="M97">
        <v>1</v>
      </c>
    </row>
    <row r="98" spans="1:19" ht="34" x14ac:dyDescent="0.2">
      <c r="A98" s="16"/>
      <c r="B98" s="2" t="s">
        <v>54</v>
      </c>
      <c r="C98" s="2" t="s">
        <v>225</v>
      </c>
      <c r="D98" s="3" t="s">
        <v>226</v>
      </c>
      <c r="G98" t="s">
        <v>22</v>
      </c>
      <c r="I98">
        <v>27</v>
      </c>
      <c r="P98">
        <v>1</v>
      </c>
      <c r="Q98">
        <v>1</v>
      </c>
    </row>
    <row r="99" spans="1:19" ht="34" x14ac:dyDescent="0.2">
      <c r="A99" s="16"/>
      <c r="B99" s="2" t="s">
        <v>54</v>
      </c>
      <c r="C99" s="2" t="s">
        <v>227</v>
      </c>
      <c r="D99" s="3" t="s">
        <v>228</v>
      </c>
      <c r="G99" t="s">
        <v>22</v>
      </c>
      <c r="I99">
        <v>27</v>
      </c>
      <c r="P99">
        <v>1</v>
      </c>
      <c r="Q99">
        <v>1</v>
      </c>
    </row>
    <row r="100" spans="1:19" ht="34" x14ac:dyDescent="0.2">
      <c r="A100" s="16"/>
      <c r="B100" s="2" t="s">
        <v>54</v>
      </c>
      <c r="C100" s="2" t="s">
        <v>229</v>
      </c>
      <c r="D100" s="3" t="s">
        <v>230</v>
      </c>
      <c r="G100" t="s">
        <v>22</v>
      </c>
      <c r="I100">
        <v>29</v>
      </c>
      <c r="Q100">
        <v>1</v>
      </c>
      <c r="R100">
        <v>1</v>
      </c>
    </row>
    <row r="101" spans="1:19" ht="34" x14ac:dyDescent="0.2">
      <c r="A101" s="16"/>
      <c r="B101" s="2" t="s">
        <v>54</v>
      </c>
      <c r="C101" s="2" t="s">
        <v>231</v>
      </c>
      <c r="D101" s="3" t="s">
        <v>232</v>
      </c>
      <c r="G101" t="s">
        <v>22</v>
      </c>
      <c r="I101">
        <v>29</v>
      </c>
      <c r="Q101">
        <v>1</v>
      </c>
      <c r="R101">
        <v>1</v>
      </c>
    </row>
    <row r="102" spans="1:19" ht="51" x14ac:dyDescent="0.2">
      <c r="A102" s="16"/>
      <c r="B102" s="2" t="s">
        <v>54</v>
      </c>
      <c r="C102" s="2" t="s">
        <v>233</v>
      </c>
      <c r="D102" s="3" t="s">
        <v>234</v>
      </c>
      <c r="G102" t="s">
        <v>22</v>
      </c>
      <c r="I102">
        <v>35</v>
      </c>
      <c r="Q102">
        <v>1</v>
      </c>
      <c r="R102">
        <v>1</v>
      </c>
    </row>
    <row r="103" spans="1:19" ht="51" x14ac:dyDescent="0.2">
      <c r="A103" s="16"/>
      <c r="B103" s="2" t="s">
        <v>54</v>
      </c>
      <c r="C103" s="2" t="s">
        <v>235</v>
      </c>
      <c r="D103" s="3" t="s">
        <v>236</v>
      </c>
      <c r="G103" t="s">
        <v>22</v>
      </c>
      <c r="I103">
        <v>35</v>
      </c>
      <c r="Q103">
        <v>1</v>
      </c>
      <c r="R103">
        <v>1</v>
      </c>
    </row>
    <row r="104" spans="1:19" ht="34" x14ac:dyDescent="0.2">
      <c r="A104" s="17" t="s">
        <v>237</v>
      </c>
      <c r="B104" s="26" t="s">
        <v>54</v>
      </c>
      <c r="C104" s="26" t="s">
        <v>337</v>
      </c>
      <c r="D104" s="27" t="s">
        <v>170</v>
      </c>
      <c r="E104" s="8"/>
      <c r="F104" s="8"/>
      <c r="G104" s="8" t="s">
        <v>22</v>
      </c>
      <c r="H104" s="8"/>
      <c r="I104" s="8">
        <v>35</v>
      </c>
      <c r="J104" s="8"/>
      <c r="K104" s="8"/>
      <c r="L104" s="8"/>
      <c r="M104" s="8">
        <v>1</v>
      </c>
      <c r="N104" s="8">
        <v>1</v>
      </c>
      <c r="O104" s="8"/>
      <c r="P104" s="8"/>
      <c r="Q104" s="8"/>
      <c r="R104" s="8"/>
      <c r="S104" s="8"/>
    </row>
    <row r="105" spans="1:19" ht="34" x14ac:dyDescent="0.2">
      <c r="A105" s="14"/>
      <c r="B105" s="22" t="s">
        <v>54</v>
      </c>
      <c r="C105" s="22" t="s">
        <v>338</v>
      </c>
      <c r="D105" s="23" t="s">
        <v>170</v>
      </c>
      <c r="E105" s="6"/>
      <c r="F105" s="6"/>
      <c r="G105" s="6" t="s">
        <v>22</v>
      </c>
      <c r="H105" s="6"/>
      <c r="I105" s="6">
        <v>35</v>
      </c>
      <c r="J105" s="6"/>
      <c r="K105" s="6"/>
      <c r="L105" s="6"/>
      <c r="M105" s="6">
        <v>1</v>
      </c>
      <c r="N105" s="6">
        <v>1</v>
      </c>
      <c r="O105" s="6"/>
      <c r="P105" s="6"/>
      <c r="Q105" s="6"/>
      <c r="R105" s="6"/>
      <c r="S105" s="6"/>
    </row>
    <row r="106" spans="1:19" ht="34" x14ac:dyDescent="0.2">
      <c r="A106" s="14"/>
      <c r="B106" s="22" t="s">
        <v>54</v>
      </c>
      <c r="C106" s="22" t="s">
        <v>238</v>
      </c>
      <c r="D106" s="23" t="s">
        <v>170</v>
      </c>
      <c r="E106" s="6"/>
      <c r="F106" s="6"/>
      <c r="G106" s="6" t="s">
        <v>22</v>
      </c>
      <c r="H106" s="6"/>
      <c r="I106" s="6">
        <v>46</v>
      </c>
      <c r="J106" s="6"/>
      <c r="K106" s="6"/>
      <c r="L106" s="6"/>
      <c r="M106" s="6">
        <v>1</v>
      </c>
      <c r="N106" s="6">
        <v>1</v>
      </c>
      <c r="O106" s="6">
        <v>1</v>
      </c>
      <c r="P106" s="6"/>
      <c r="Q106" s="6"/>
      <c r="R106" s="6"/>
      <c r="S106" s="6"/>
    </row>
    <row r="107" spans="1:19" ht="34" x14ac:dyDescent="0.2">
      <c r="A107" s="14"/>
      <c r="B107" s="22" t="s">
        <v>54</v>
      </c>
      <c r="C107" s="22" t="s">
        <v>239</v>
      </c>
      <c r="D107" s="23" t="s">
        <v>170</v>
      </c>
      <c r="E107" s="6"/>
      <c r="F107" s="6"/>
      <c r="G107" s="6" t="s">
        <v>22</v>
      </c>
      <c r="H107" s="6"/>
      <c r="I107" s="6">
        <v>46</v>
      </c>
      <c r="J107" s="6"/>
      <c r="K107" s="6"/>
      <c r="L107" s="6"/>
      <c r="M107" s="6">
        <v>1</v>
      </c>
      <c r="N107" s="6">
        <v>1</v>
      </c>
      <c r="O107" s="6">
        <v>1</v>
      </c>
      <c r="P107" s="6"/>
      <c r="Q107" s="6"/>
      <c r="R107" s="6"/>
      <c r="S107" s="6"/>
    </row>
    <row r="108" spans="1:19" ht="34" x14ac:dyDescent="0.2">
      <c r="A108" s="14"/>
      <c r="B108" s="22" t="s">
        <v>54</v>
      </c>
      <c r="C108" s="22" t="s">
        <v>240</v>
      </c>
      <c r="D108" s="23" t="s">
        <v>241</v>
      </c>
      <c r="E108" s="6"/>
      <c r="F108" s="6"/>
      <c r="G108" s="6"/>
      <c r="H108" s="6" t="s">
        <v>22</v>
      </c>
      <c r="I108" s="6">
        <v>24</v>
      </c>
      <c r="J108" s="6"/>
      <c r="K108" s="6"/>
      <c r="L108" s="6"/>
      <c r="M108" s="6"/>
      <c r="N108" s="6"/>
      <c r="O108" s="6"/>
      <c r="P108" s="6"/>
      <c r="Q108" s="6">
        <v>1</v>
      </c>
      <c r="R108" s="6"/>
      <c r="S108" s="6"/>
    </row>
    <row r="109" spans="1:19" ht="34" x14ac:dyDescent="0.2">
      <c r="A109" s="14"/>
      <c r="B109" s="22" t="s">
        <v>54</v>
      </c>
      <c r="C109" s="22" t="s">
        <v>242</v>
      </c>
      <c r="D109" s="23" t="s">
        <v>241</v>
      </c>
      <c r="E109" s="6"/>
      <c r="F109" s="6"/>
      <c r="G109" s="6"/>
      <c r="H109" s="6" t="s">
        <v>22</v>
      </c>
      <c r="I109" s="6">
        <v>24</v>
      </c>
      <c r="J109" s="6"/>
      <c r="K109" s="6"/>
      <c r="L109" s="6"/>
      <c r="M109" s="6"/>
      <c r="N109" s="6"/>
      <c r="O109" s="6"/>
      <c r="P109" s="6"/>
      <c r="Q109" s="6">
        <v>1</v>
      </c>
      <c r="R109" s="6"/>
      <c r="S109" s="6"/>
    </row>
    <row r="110" spans="1:19" ht="34" x14ac:dyDescent="0.2">
      <c r="A110" s="14"/>
      <c r="B110" s="22" t="s">
        <v>54</v>
      </c>
      <c r="C110" s="22" t="s">
        <v>243</v>
      </c>
      <c r="D110" s="23" t="s">
        <v>241</v>
      </c>
      <c r="E110" s="6"/>
      <c r="F110" s="6"/>
      <c r="G110" s="6"/>
      <c r="H110" s="6" t="s">
        <v>22</v>
      </c>
      <c r="I110" s="6">
        <v>22</v>
      </c>
      <c r="J110" s="6"/>
      <c r="K110" s="6"/>
      <c r="L110" s="6"/>
      <c r="M110" s="6"/>
      <c r="N110" s="6"/>
      <c r="O110" s="6"/>
      <c r="P110" s="6"/>
      <c r="Q110" s="6">
        <v>1</v>
      </c>
      <c r="R110" s="6"/>
      <c r="S110" s="6"/>
    </row>
    <row r="111" spans="1:19" ht="34" x14ac:dyDescent="0.2">
      <c r="A111" s="14"/>
      <c r="B111" s="22" t="s">
        <v>54</v>
      </c>
      <c r="C111" s="22" t="s">
        <v>244</v>
      </c>
      <c r="D111" s="23" t="s">
        <v>241</v>
      </c>
      <c r="E111" s="6"/>
      <c r="F111" s="6"/>
      <c r="G111" s="6"/>
      <c r="H111" s="6" t="s">
        <v>22</v>
      </c>
      <c r="I111" s="6">
        <v>22</v>
      </c>
      <c r="J111" s="6"/>
      <c r="K111" s="6"/>
      <c r="L111" s="6"/>
      <c r="M111" s="6"/>
      <c r="N111" s="6"/>
      <c r="O111" s="6"/>
      <c r="P111" s="6"/>
      <c r="Q111" s="6">
        <v>1</v>
      </c>
      <c r="R111" s="6"/>
      <c r="S111" s="6"/>
    </row>
    <row r="112" spans="1:19" ht="34" x14ac:dyDescent="0.2">
      <c r="A112" s="14"/>
      <c r="B112" s="22" t="s">
        <v>54</v>
      </c>
      <c r="C112" s="22" t="s">
        <v>245</v>
      </c>
      <c r="D112" s="23" t="s">
        <v>241</v>
      </c>
      <c r="E112" s="6"/>
      <c r="F112" s="6"/>
      <c r="G112" s="6"/>
      <c r="H112" s="6" t="s">
        <v>22</v>
      </c>
      <c r="I112" s="6">
        <v>22</v>
      </c>
      <c r="J112" s="6"/>
      <c r="K112" s="6"/>
      <c r="L112" s="6"/>
      <c r="M112" s="6"/>
      <c r="N112" s="6"/>
      <c r="O112" s="6"/>
      <c r="P112" s="6"/>
      <c r="Q112" s="6">
        <v>1</v>
      </c>
      <c r="R112" s="6"/>
      <c r="S112" s="6"/>
    </row>
    <row r="113" spans="1:19" ht="34" x14ac:dyDescent="0.2">
      <c r="A113" s="14"/>
      <c r="B113" s="22" t="s">
        <v>54</v>
      </c>
      <c r="C113" s="22" t="s">
        <v>246</v>
      </c>
      <c r="D113" s="23" t="s">
        <v>241</v>
      </c>
      <c r="E113" s="6"/>
      <c r="F113" s="6"/>
      <c r="G113" s="6"/>
      <c r="H113" s="6" t="s">
        <v>22</v>
      </c>
      <c r="I113" s="6">
        <v>22</v>
      </c>
      <c r="J113" s="6"/>
      <c r="K113" s="6"/>
      <c r="L113" s="6"/>
      <c r="M113" s="6"/>
      <c r="N113" s="6"/>
      <c r="O113" s="6"/>
      <c r="P113" s="6"/>
      <c r="Q113" s="6">
        <v>1</v>
      </c>
      <c r="R113" s="6"/>
      <c r="S113" s="6"/>
    </row>
    <row r="114" spans="1:19" ht="34" x14ac:dyDescent="0.2">
      <c r="A114" s="15"/>
      <c r="B114" s="24" t="s">
        <v>54</v>
      </c>
      <c r="C114" s="24" t="s">
        <v>247</v>
      </c>
      <c r="D114" s="25" t="s">
        <v>241</v>
      </c>
      <c r="E114" s="7"/>
      <c r="F114" s="7" t="s">
        <v>22</v>
      </c>
      <c r="G114" s="7"/>
      <c r="H114" s="7"/>
      <c r="I114" s="7">
        <v>19</v>
      </c>
      <c r="J114" s="7"/>
      <c r="K114" s="7"/>
      <c r="L114" s="7"/>
      <c r="M114" s="7">
        <v>1</v>
      </c>
      <c r="N114" s="7"/>
      <c r="O114" s="7"/>
      <c r="P114" s="7"/>
      <c r="Q114" s="7"/>
      <c r="R114" s="7"/>
      <c r="S114" s="7"/>
    </row>
    <row r="115" spans="1:19" ht="51" x14ac:dyDescent="0.2">
      <c r="A115" s="19" t="s">
        <v>297</v>
      </c>
      <c r="B115" s="2" t="s">
        <v>298</v>
      </c>
      <c r="C115" s="2"/>
      <c r="D115" s="3" t="s">
        <v>299</v>
      </c>
      <c r="G115" t="s">
        <v>22</v>
      </c>
      <c r="I115">
        <v>40</v>
      </c>
      <c r="N115">
        <v>1</v>
      </c>
      <c r="O115">
        <v>1</v>
      </c>
    </row>
    <row r="116" spans="1:19" ht="51" x14ac:dyDescent="0.2">
      <c r="A116" s="17" t="s">
        <v>300</v>
      </c>
      <c r="B116" s="26" t="s">
        <v>54</v>
      </c>
      <c r="C116" s="26" t="s">
        <v>301</v>
      </c>
      <c r="D116" s="27" t="s">
        <v>302</v>
      </c>
      <c r="E116" s="8"/>
      <c r="F116" s="8"/>
      <c r="G116" s="8"/>
      <c r="H116" s="8" t="s">
        <v>22</v>
      </c>
      <c r="I116" s="8">
        <v>32</v>
      </c>
      <c r="J116" s="8"/>
      <c r="K116" s="8"/>
      <c r="L116" s="8"/>
      <c r="M116" s="8"/>
      <c r="N116" s="8"/>
      <c r="O116" s="8">
        <v>1</v>
      </c>
      <c r="P116" s="8">
        <v>1</v>
      </c>
      <c r="Q116" s="8"/>
      <c r="R116" s="8"/>
      <c r="S116" s="8"/>
    </row>
    <row r="117" spans="1:19" ht="51" x14ac:dyDescent="0.2">
      <c r="A117" s="15"/>
      <c r="B117" s="24" t="s">
        <v>54</v>
      </c>
      <c r="C117" s="24" t="s">
        <v>303</v>
      </c>
      <c r="D117" s="25" t="s">
        <v>304</v>
      </c>
      <c r="E117" s="7"/>
      <c r="F117" s="7"/>
      <c r="G117" s="7"/>
      <c r="H117" s="7" t="s">
        <v>22</v>
      </c>
      <c r="I117" s="7">
        <v>32</v>
      </c>
      <c r="J117" s="7"/>
      <c r="K117" s="7"/>
      <c r="L117" s="7"/>
      <c r="M117" s="7"/>
      <c r="N117" s="7"/>
      <c r="O117" s="7">
        <v>1</v>
      </c>
      <c r="P117" s="7">
        <v>1</v>
      </c>
      <c r="Q117" s="7"/>
      <c r="R117" s="7"/>
      <c r="S117" s="7"/>
    </row>
    <row r="118" spans="1:19" ht="51" x14ac:dyDescent="0.2">
      <c r="A118" s="16" t="s">
        <v>305</v>
      </c>
      <c r="B118" s="2" t="s">
        <v>54</v>
      </c>
      <c r="C118" s="2" t="s">
        <v>306</v>
      </c>
      <c r="D118" s="3" t="s">
        <v>307</v>
      </c>
      <c r="G118" t="s">
        <v>22</v>
      </c>
      <c r="I118">
        <v>46</v>
      </c>
      <c r="O118">
        <v>1</v>
      </c>
      <c r="P118">
        <v>1</v>
      </c>
      <c r="Q118">
        <v>1</v>
      </c>
    </row>
    <row r="119" spans="1:19" ht="51" x14ac:dyDescent="0.2">
      <c r="A119" s="16"/>
      <c r="B119" s="2" t="s">
        <v>54</v>
      </c>
      <c r="C119" s="2" t="s">
        <v>308</v>
      </c>
      <c r="D119" s="3" t="s">
        <v>309</v>
      </c>
      <c r="G119" t="s">
        <v>22</v>
      </c>
      <c r="I119">
        <v>46</v>
      </c>
      <c r="O119">
        <v>1</v>
      </c>
      <c r="P119">
        <v>1</v>
      </c>
      <c r="Q119">
        <v>1</v>
      </c>
    </row>
    <row r="120" spans="1:19" ht="51" x14ac:dyDescent="0.2">
      <c r="A120" s="16"/>
      <c r="B120" s="2" t="s">
        <v>54</v>
      </c>
      <c r="C120" s="2" t="s">
        <v>310</v>
      </c>
      <c r="D120" s="3" t="s">
        <v>311</v>
      </c>
      <c r="H120" t="s">
        <v>22</v>
      </c>
      <c r="I120">
        <v>38</v>
      </c>
      <c r="P120">
        <v>1</v>
      </c>
      <c r="Q120">
        <v>1</v>
      </c>
    </row>
    <row r="121" spans="1:19" ht="51" x14ac:dyDescent="0.2">
      <c r="A121" s="16"/>
      <c r="B121" s="2" t="s">
        <v>54</v>
      </c>
      <c r="C121" s="2" t="s">
        <v>312</v>
      </c>
      <c r="D121" s="3" t="s">
        <v>313</v>
      </c>
      <c r="H121" t="s">
        <v>22</v>
      </c>
      <c r="I121">
        <v>38</v>
      </c>
      <c r="P121">
        <v>1</v>
      </c>
      <c r="Q121">
        <v>1</v>
      </c>
    </row>
    <row r="122" spans="1:19" ht="51" x14ac:dyDescent="0.2">
      <c r="A122" s="17" t="s">
        <v>314</v>
      </c>
      <c r="B122" s="26" t="s">
        <v>54</v>
      </c>
      <c r="C122" s="26" t="s">
        <v>315</v>
      </c>
      <c r="D122" s="27" t="s">
        <v>316</v>
      </c>
      <c r="E122" s="8"/>
      <c r="F122" s="8"/>
      <c r="G122" s="8" t="s">
        <v>22</v>
      </c>
      <c r="H122" s="8"/>
      <c r="I122" s="8">
        <v>54</v>
      </c>
      <c r="J122" s="8"/>
      <c r="K122" s="8"/>
      <c r="L122" s="8"/>
      <c r="M122" s="8"/>
      <c r="N122" s="8"/>
      <c r="O122" s="8"/>
      <c r="P122" s="8">
        <v>1</v>
      </c>
      <c r="Q122" s="8">
        <v>1</v>
      </c>
      <c r="R122" s="8">
        <v>1</v>
      </c>
      <c r="S122" s="8"/>
    </row>
    <row r="123" spans="1:19" ht="51" x14ac:dyDescent="0.2">
      <c r="A123" s="14"/>
      <c r="B123" s="22" t="s">
        <v>54</v>
      </c>
      <c r="C123" s="22" t="s">
        <v>317</v>
      </c>
      <c r="D123" s="23" t="s">
        <v>318</v>
      </c>
      <c r="E123" s="6"/>
      <c r="F123" s="6"/>
      <c r="G123" s="6" t="s">
        <v>22</v>
      </c>
      <c r="H123" s="6"/>
      <c r="I123" s="6">
        <v>54</v>
      </c>
      <c r="J123" s="6"/>
      <c r="K123" s="6"/>
      <c r="L123" s="6"/>
      <c r="M123" s="6"/>
      <c r="N123" s="6"/>
      <c r="O123" s="6"/>
      <c r="P123" s="6">
        <v>1</v>
      </c>
      <c r="Q123" s="6">
        <v>1</v>
      </c>
      <c r="R123" s="6">
        <v>1</v>
      </c>
      <c r="S123" s="6"/>
    </row>
    <row r="124" spans="1:19" ht="51" x14ac:dyDescent="0.2">
      <c r="A124" s="14"/>
      <c r="B124" s="22" t="s">
        <v>54</v>
      </c>
      <c r="C124" s="22" t="s">
        <v>319</v>
      </c>
      <c r="D124" s="23" t="s">
        <v>320</v>
      </c>
      <c r="E124" s="6"/>
      <c r="F124" s="6"/>
      <c r="G124" s="6" t="s">
        <v>22</v>
      </c>
      <c r="H124" s="6"/>
      <c r="I124" s="6">
        <v>38</v>
      </c>
      <c r="J124" s="6"/>
      <c r="K124" s="6"/>
      <c r="L124" s="6"/>
      <c r="M124" s="6"/>
      <c r="N124" s="6"/>
      <c r="O124" s="6"/>
      <c r="P124" s="6"/>
      <c r="Q124" s="6">
        <v>1</v>
      </c>
      <c r="R124" s="6">
        <v>1</v>
      </c>
      <c r="S124" s="6">
        <v>1</v>
      </c>
    </row>
    <row r="125" spans="1:19" ht="51" x14ac:dyDescent="0.2">
      <c r="A125" s="15"/>
      <c r="B125" s="24" t="s">
        <v>54</v>
      </c>
      <c r="C125" s="24" t="s">
        <v>321</v>
      </c>
      <c r="D125" s="25" t="s">
        <v>322</v>
      </c>
      <c r="E125" s="7"/>
      <c r="F125" s="7"/>
      <c r="G125" s="7" t="s">
        <v>22</v>
      </c>
      <c r="H125" s="7"/>
      <c r="I125" s="7">
        <v>38</v>
      </c>
      <c r="J125" s="7"/>
      <c r="K125" s="7"/>
      <c r="L125" s="7"/>
      <c r="M125" s="7"/>
      <c r="N125" s="7"/>
      <c r="O125" s="7"/>
      <c r="P125" s="7"/>
      <c r="Q125" s="7">
        <v>1</v>
      </c>
      <c r="R125" s="7">
        <v>1</v>
      </c>
      <c r="S125" s="7">
        <v>1</v>
      </c>
    </row>
    <row r="126" spans="1:19" ht="34" x14ac:dyDescent="0.2">
      <c r="A126" s="18" t="s">
        <v>323</v>
      </c>
      <c r="B126" s="28" t="s">
        <v>324</v>
      </c>
      <c r="C126" s="28"/>
      <c r="D126" s="9" t="s">
        <v>325</v>
      </c>
      <c r="E126" s="10"/>
      <c r="F126" s="10"/>
      <c r="G126" s="10" t="s">
        <v>22</v>
      </c>
      <c r="H126" s="10"/>
      <c r="I126" s="10">
        <v>50</v>
      </c>
      <c r="J126" s="10"/>
      <c r="K126" s="10"/>
      <c r="L126" s="10"/>
      <c r="M126" s="10"/>
      <c r="N126" s="10"/>
      <c r="O126" s="10"/>
      <c r="P126" s="10"/>
      <c r="Q126" s="10">
        <v>1</v>
      </c>
      <c r="R126" s="10">
        <v>1</v>
      </c>
      <c r="S126" s="10">
        <v>1</v>
      </c>
    </row>
    <row r="127" spans="1:19" ht="34" x14ac:dyDescent="0.2">
      <c r="A127" s="16" t="s">
        <v>39</v>
      </c>
      <c r="B127" s="2" t="s">
        <v>248</v>
      </c>
      <c r="C127" s="2"/>
      <c r="D127" s="3" t="s">
        <v>249</v>
      </c>
      <c r="G127" t="s">
        <v>22</v>
      </c>
      <c r="I127">
        <v>60</v>
      </c>
      <c r="R127">
        <v>1</v>
      </c>
      <c r="S127">
        <v>1</v>
      </c>
    </row>
    <row r="128" spans="1:19" ht="34" x14ac:dyDescent="0.2">
      <c r="A128" s="16"/>
      <c r="B128" s="2" t="s">
        <v>250</v>
      </c>
      <c r="C128" s="2"/>
      <c r="D128" s="3" t="s">
        <v>251</v>
      </c>
      <c r="G128" t="s">
        <v>22</v>
      </c>
      <c r="I128">
        <v>58</v>
      </c>
      <c r="R128">
        <v>1</v>
      </c>
      <c r="S128">
        <v>1</v>
      </c>
    </row>
    <row r="129" spans="1:19" ht="34" x14ac:dyDescent="0.2">
      <c r="A129" s="16"/>
      <c r="B129" s="2" t="s">
        <v>252</v>
      </c>
      <c r="C129" s="2"/>
      <c r="D129" s="3" t="s">
        <v>253</v>
      </c>
      <c r="G129" t="s">
        <v>22</v>
      </c>
      <c r="I129">
        <v>72</v>
      </c>
      <c r="R129">
        <v>1</v>
      </c>
      <c r="S129">
        <v>1</v>
      </c>
    </row>
    <row r="130" spans="1:19" ht="34" x14ac:dyDescent="0.2">
      <c r="A130" s="16"/>
      <c r="B130" s="2" t="s">
        <v>254</v>
      </c>
      <c r="C130" s="2"/>
      <c r="D130" s="3" t="s">
        <v>255</v>
      </c>
      <c r="G130" t="s">
        <v>22</v>
      </c>
      <c r="I130">
        <v>54</v>
      </c>
      <c r="R130">
        <v>1</v>
      </c>
      <c r="S130">
        <v>1</v>
      </c>
    </row>
    <row r="131" spans="1:19" ht="34" x14ac:dyDescent="0.2">
      <c r="A131" s="17" t="s">
        <v>256</v>
      </c>
      <c r="B131" s="26" t="s">
        <v>257</v>
      </c>
      <c r="C131" s="26"/>
      <c r="D131" s="27" t="s">
        <v>258</v>
      </c>
      <c r="E131" s="8"/>
      <c r="F131" s="8"/>
      <c r="G131" s="8" t="s">
        <v>22</v>
      </c>
      <c r="H131" s="8"/>
      <c r="I131" s="8">
        <v>64</v>
      </c>
      <c r="J131" s="8"/>
      <c r="K131" s="8"/>
      <c r="L131" s="8"/>
      <c r="M131" s="8"/>
      <c r="N131" s="8"/>
      <c r="O131" s="8"/>
      <c r="P131" s="8"/>
      <c r="Q131" s="8"/>
      <c r="R131" s="8">
        <v>1</v>
      </c>
      <c r="S131" s="8">
        <v>1</v>
      </c>
    </row>
    <row r="132" spans="1:19" ht="34" x14ac:dyDescent="0.2">
      <c r="A132" s="15"/>
      <c r="B132" s="24" t="s">
        <v>259</v>
      </c>
      <c r="C132" s="24"/>
      <c r="D132" s="25" t="s">
        <v>260</v>
      </c>
      <c r="E132" s="7"/>
      <c r="F132" s="7"/>
      <c r="G132" s="7" t="s">
        <v>22</v>
      </c>
      <c r="H132" s="7"/>
      <c r="I132" s="7">
        <v>64</v>
      </c>
      <c r="J132" s="7"/>
      <c r="K132" s="7"/>
      <c r="L132" s="7"/>
      <c r="M132" s="7"/>
      <c r="N132" s="7"/>
      <c r="O132" s="7"/>
      <c r="P132" s="7"/>
      <c r="Q132" s="7"/>
      <c r="R132" s="7">
        <v>1</v>
      </c>
      <c r="S132" s="7">
        <v>1</v>
      </c>
    </row>
    <row r="133" spans="1:19" ht="51" x14ac:dyDescent="0.2">
      <c r="A133" s="16" t="s">
        <v>261</v>
      </c>
      <c r="B133" s="2" t="s">
        <v>262</v>
      </c>
      <c r="C133" s="2"/>
      <c r="D133" s="3" t="s">
        <v>263</v>
      </c>
      <c r="G133" t="s">
        <v>22</v>
      </c>
      <c r="I133">
        <v>72</v>
      </c>
      <c r="R133">
        <v>1</v>
      </c>
      <c r="S133">
        <v>1</v>
      </c>
    </row>
    <row r="134" spans="1:19" ht="34" x14ac:dyDescent="0.2">
      <c r="A134" s="16"/>
      <c r="B134" s="2" t="s">
        <v>264</v>
      </c>
      <c r="C134" s="2"/>
      <c r="D134" s="3" t="s">
        <v>265</v>
      </c>
      <c r="G134" t="s">
        <v>22</v>
      </c>
      <c r="I134">
        <v>56</v>
      </c>
      <c r="R134">
        <v>1</v>
      </c>
      <c r="S134">
        <v>1</v>
      </c>
    </row>
    <row r="135" spans="1:19" ht="34" x14ac:dyDescent="0.2">
      <c r="A135" s="16"/>
      <c r="B135" s="2" t="s">
        <v>266</v>
      </c>
      <c r="C135" s="2"/>
      <c r="D135" s="3" t="s">
        <v>267</v>
      </c>
      <c r="G135" t="s">
        <v>22</v>
      </c>
      <c r="I135">
        <v>56</v>
      </c>
      <c r="R135">
        <v>1</v>
      </c>
      <c r="S135">
        <v>1</v>
      </c>
    </row>
    <row r="136" spans="1:19" ht="34" x14ac:dyDescent="0.2">
      <c r="A136" s="17" t="s">
        <v>268</v>
      </c>
      <c r="B136" s="26" t="s">
        <v>269</v>
      </c>
      <c r="C136" s="26"/>
      <c r="D136" s="27" t="s">
        <v>270</v>
      </c>
      <c r="E136" s="8"/>
      <c r="F136" s="8"/>
      <c r="G136" s="8" t="s">
        <v>22</v>
      </c>
      <c r="H136" s="8"/>
      <c r="I136" s="8">
        <v>62</v>
      </c>
      <c r="J136" s="8"/>
      <c r="K136" s="8"/>
      <c r="L136" s="8"/>
      <c r="M136" s="8"/>
      <c r="N136" s="8"/>
      <c r="O136" s="8"/>
      <c r="P136" s="8"/>
      <c r="Q136" s="8"/>
      <c r="R136" s="8">
        <v>1</v>
      </c>
      <c r="S136" s="8">
        <v>1</v>
      </c>
    </row>
    <row r="137" spans="1:19" ht="51" x14ac:dyDescent="0.2">
      <c r="A137" s="14"/>
      <c r="B137" s="22" t="s">
        <v>271</v>
      </c>
      <c r="C137" s="22"/>
      <c r="D137" s="23" t="s">
        <v>272</v>
      </c>
      <c r="E137" s="6"/>
      <c r="F137" s="6"/>
      <c r="G137" s="6" t="s">
        <v>22</v>
      </c>
      <c r="H137" s="6"/>
      <c r="I137" s="6">
        <v>66</v>
      </c>
      <c r="J137" s="6"/>
      <c r="K137" s="6"/>
      <c r="L137" s="6"/>
      <c r="M137" s="6"/>
      <c r="N137" s="6"/>
      <c r="O137" s="6"/>
      <c r="P137" s="6"/>
      <c r="Q137" s="6"/>
      <c r="R137" s="6"/>
      <c r="S137" s="6">
        <v>1</v>
      </c>
    </row>
    <row r="138" spans="1:19" ht="34" x14ac:dyDescent="0.2">
      <c r="A138" s="15"/>
      <c r="B138" s="24" t="s">
        <v>273</v>
      </c>
      <c r="C138" s="24"/>
      <c r="D138" s="25" t="s">
        <v>274</v>
      </c>
      <c r="E138" s="7"/>
      <c r="F138" s="7"/>
      <c r="G138" s="7"/>
      <c r="H138" s="7" t="s">
        <v>22</v>
      </c>
      <c r="I138" s="7">
        <v>56</v>
      </c>
      <c r="J138" s="7"/>
      <c r="K138" s="7"/>
      <c r="L138" s="7"/>
      <c r="M138" s="7"/>
      <c r="N138" s="7"/>
      <c r="O138" s="7"/>
      <c r="P138" s="7"/>
      <c r="Q138" s="7"/>
      <c r="R138" s="7"/>
      <c r="S138" s="7">
        <v>1</v>
      </c>
    </row>
    <row r="139" spans="1:19" ht="51" x14ac:dyDescent="0.2">
      <c r="A139" s="16" t="s">
        <v>275</v>
      </c>
      <c r="B139" s="2" t="s">
        <v>276</v>
      </c>
      <c r="C139" s="2"/>
      <c r="D139" s="3" t="s">
        <v>277</v>
      </c>
      <c r="G139" t="s">
        <v>22</v>
      </c>
      <c r="I139">
        <v>56</v>
      </c>
      <c r="S139">
        <v>1</v>
      </c>
    </row>
    <row r="140" spans="1:19" ht="34" x14ac:dyDescent="0.2">
      <c r="A140" s="16"/>
      <c r="B140" s="2" t="s">
        <v>278</v>
      </c>
      <c r="C140" s="2"/>
      <c r="D140" s="3" t="s">
        <v>279</v>
      </c>
      <c r="G140" t="s">
        <v>22</v>
      </c>
      <c r="I140">
        <v>82</v>
      </c>
      <c r="S140">
        <v>1</v>
      </c>
    </row>
    <row r="141" spans="1:19" ht="34" x14ac:dyDescent="0.2">
      <c r="A141" s="16"/>
      <c r="B141" s="2" t="s">
        <v>280</v>
      </c>
      <c r="C141" s="2"/>
      <c r="D141" s="3" t="s">
        <v>281</v>
      </c>
      <c r="H141" t="s">
        <v>22</v>
      </c>
      <c r="I141">
        <v>94</v>
      </c>
      <c r="S141">
        <v>1</v>
      </c>
    </row>
    <row r="142" spans="1:19" ht="34" x14ac:dyDescent="0.2">
      <c r="A142" s="16"/>
      <c r="B142" s="2" t="s">
        <v>282</v>
      </c>
      <c r="C142" s="2"/>
      <c r="D142" s="3" t="s">
        <v>283</v>
      </c>
      <c r="H142" t="s">
        <v>22</v>
      </c>
      <c r="I142">
        <v>94</v>
      </c>
      <c r="S142">
        <v>1</v>
      </c>
    </row>
    <row r="143" spans="1:19" ht="34" x14ac:dyDescent="0.2">
      <c r="A143" s="16"/>
      <c r="B143" s="2" t="s">
        <v>284</v>
      </c>
      <c r="C143" s="2"/>
      <c r="D143" s="3" t="s">
        <v>285</v>
      </c>
      <c r="H143" t="s">
        <v>22</v>
      </c>
      <c r="I143">
        <v>80</v>
      </c>
      <c r="S143">
        <v>1</v>
      </c>
    </row>
    <row r="144" spans="1:19" ht="34" x14ac:dyDescent="0.2">
      <c r="A144" s="17" t="s">
        <v>286</v>
      </c>
      <c r="B144" s="26" t="s">
        <v>287</v>
      </c>
      <c r="C144" s="26"/>
      <c r="D144" s="27" t="s">
        <v>288</v>
      </c>
      <c r="E144" s="8"/>
      <c r="F144" s="8"/>
      <c r="G144" s="8" t="s">
        <v>22</v>
      </c>
      <c r="H144" s="8"/>
      <c r="I144" s="8">
        <v>42</v>
      </c>
      <c r="J144" s="8"/>
      <c r="K144" s="8"/>
      <c r="L144" s="8"/>
      <c r="M144" s="8"/>
      <c r="N144" s="8"/>
      <c r="O144" s="8"/>
      <c r="P144" s="8">
        <v>1</v>
      </c>
      <c r="Q144" s="8">
        <v>1</v>
      </c>
      <c r="R144" s="8"/>
      <c r="S144" s="8"/>
    </row>
    <row r="145" spans="1:19" ht="34" x14ac:dyDescent="0.2">
      <c r="A145" s="14"/>
      <c r="B145" s="22" t="s">
        <v>289</v>
      </c>
      <c r="C145" s="22"/>
      <c r="D145" s="23" t="s">
        <v>290</v>
      </c>
      <c r="E145" s="6"/>
      <c r="F145" s="6"/>
      <c r="G145" s="6" t="s">
        <v>22</v>
      </c>
      <c r="H145" s="6"/>
      <c r="I145" s="6">
        <v>96</v>
      </c>
      <c r="J145" s="6"/>
      <c r="K145" s="6"/>
      <c r="L145" s="6"/>
      <c r="M145" s="6"/>
      <c r="N145" s="6"/>
      <c r="O145" s="6"/>
      <c r="P145" s="6"/>
      <c r="Q145" s="6">
        <v>1</v>
      </c>
      <c r="R145" s="6">
        <v>1</v>
      </c>
      <c r="S145" s="6"/>
    </row>
    <row r="146" spans="1:19" ht="34" x14ac:dyDescent="0.2">
      <c r="A146" s="14"/>
      <c r="B146" s="22" t="s">
        <v>291</v>
      </c>
      <c r="C146" s="22"/>
      <c r="D146" s="23" t="s">
        <v>292</v>
      </c>
      <c r="E146" s="6"/>
      <c r="F146" s="6"/>
      <c r="G146" s="6" t="s">
        <v>22</v>
      </c>
      <c r="H146" s="6"/>
      <c r="I146" s="6">
        <v>56</v>
      </c>
      <c r="J146" s="6"/>
      <c r="K146" s="6"/>
      <c r="L146" s="6"/>
      <c r="M146" s="6"/>
      <c r="N146" s="6"/>
      <c r="O146" s="6"/>
      <c r="P146" s="6"/>
      <c r="Q146" s="6"/>
      <c r="R146" s="6">
        <v>1</v>
      </c>
      <c r="S146" s="6"/>
    </row>
    <row r="147" spans="1:19" ht="34" x14ac:dyDescent="0.2">
      <c r="A147" s="14"/>
      <c r="B147" s="22" t="s">
        <v>293</v>
      </c>
      <c r="C147" s="22"/>
      <c r="D147" s="23" t="s">
        <v>294</v>
      </c>
      <c r="E147" s="6"/>
      <c r="F147" s="6"/>
      <c r="G147" s="6" t="s">
        <v>22</v>
      </c>
      <c r="H147" s="6"/>
      <c r="I147" s="6">
        <v>64</v>
      </c>
      <c r="J147" s="6"/>
      <c r="K147" s="6"/>
      <c r="L147" s="6"/>
      <c r="M147" s="6"/>
      <c r="N147" s="6"/>
      <c r="O147" s="6"/>
      <c r="P147" s="6"/>
      <c r="Q147" s="6"/>
      <c r="R147" s="6">
        <v>1</v>
      </c>
      <c r="S147" s="6">
        <v>1</v>
      </c>
    </row>
    <row r="148" spans="1:19" ht="34" x14ac:dyDescent="0.2">
      <c r="A148" s="15"/>
      <c r="B148" s="24" t="s">
        <v>295</v>
      </c>
      <c r="C148" s="24"/>
      <c r="D148" s="25" t="s">
        <v>296</v>
      </c>
      <c r="E148" s="7"/>
      <c r="F148" s="7"/>
      <c r="G148" s="7" t="s">
        <v>22</v>
      </c>
      <c r="H148" s="7"/>
      <c r="I148" s="7">
        <v>52</v>
      </c>
      <c r="J148" s="7"/>
      <c r="K148" s="7"/>
      <c r="L148" s="7"/>
      <c r="M148" s="7"/>
      <c r="N148" s="7"/>
      <c r="O148" s="7"/>
      <c r="P148" s="7"/>
      <c r="Q148" s="7"/>
      <c r="R148" s="7"/>
      <c r="S148" s="7">
        <v>1</v>
      </c>
    </row>
    <row r="149" spans="1:19" ht="34" x14ac:dyDescent="0.2">
      <c r="A149" s="17" t="s">
        <v>326</v>
      </c>
      <c r="B149" s="26" t="s">
        <v>327</v>
      </c>
      <c r="C149" s="26"/>
      <c r="D149" s="27" t="s">
        <v>328</v>
      </c>
      <c r="E149" s="8"/>
      <c r="F149" s="8"/>
      <c r="G149" s="8" t="s">
        <v>22</v>
      </c>
      <c r="H149" s="8"/>
      <c r="I149" s="8">
        <v>48</v>
      </c>
      <c r="J149" s="8"/>
      <c r="K149" s="8"/>
      <c r="L149" s="8"/>
      <c r="M149" s="8"/>
      <c r="N149" s="8"/>
      <c r="O149" s="8"/>
      <c r="P149" s="8"/>
      <c r="Q149" s="8"/>
      <c r="R149" s="8"/>
      <c r="S149" s="8">
        <v>1</v>
      </c>
    </row>
    <row r="150" spans="1:19" ht="34" x14ac:dyDescent="0.2">
      <c r="A150" s="14"/>
      <c r="B150" s="22" t="s">
        <v>329</v>
      </c>
      <c r="C150" s="22"/>
      <c r="D150" s="23" t="s">
        <v>330</v>
      </c>
      <c r="E150" s="6"/>
      <c r="F150" s="6"/>
      <c r="G150" s="6" t="s">
        <v>22</v>
      </c>
      <c r="H150" s="6"/>
      <c r="I150" s="6">
        <v>48</v>
      </c>
      <c r="J150" s="6"/>
      <c r="K150" s="6"/>
      <c r="L150" s="6"/>
      <c r="M150" s="6"/>
      <c r="N150" s="6"/>
      <c r="O150" s="6"/>
      <c r="P150" s="6"/>
      <c r="Q150" s="6"/>
      <c r="R150" s="6"/>
      <c r="S150" s="6">
        <v>1</v>
      </c>
    </row>
    <row r="151" spans="1:19" ht="34" x14ac:dyDescent="0.2">
      <c r="A151" s="15"/>
      <c r="B151" s="24" t="s">
        <v>331</v>
      </c>
      <c r="C151" s="24"/>
      <c r="D151" s="25" t="s">
        <v>332</v>
      </c>
      <c r="E151" s="7"/>
      <c r="F151" s="7"/>
      <c r="G151" s="7" t="s">
        <v>22</v>
      </c>
      <c r="H151" s="7"/>
      <c r="I151" s="7">
        <v>56</v>
      </c>
      <c r="J151" s="7"/>
      <c r="K151" s="7"/>
      <c r="L151" s="7"/>
      <c r="M151" s="7"/>
      <c r="N151" s="7"/>
      <c r="O151" s="7"/>
      <c r="P151" s="7"/>
      <c r="Q151" s="7"/>
      <c r="R151" s="7"/>
      <c r="S151" s="7">
        <v>1</v>
      </c>
    </row>
  </sheetData>
  <mergeCells count="30">
    <mergeCell ref="A139:A143"/>
    <mergeCell ref="A144:A148"/>
    <mergeCell ref="A149:A151"/>
    <mergeCell ref="A94:A103"/>
    <mergeCell ref="A104:A114"/>
    <mergeCell ref="A127:A130"/>
    <mergeCell ref="A131:A132"/>
    <mergeCell ref="A133:A135"/>
    <mergeCell ref="A136:A138"/>
    <mergeCell ref="A116:A117"/>
    <mergeCell ref="A118:A121"/>
    <mergeCell ref="A122:A125"/>
    <mergeCell ref="A66:A67"/>
    <mergeCell ref="A68:A75"/>
    <mergeCell ref="A76:A79"/>
    <mergeCell ref="A80:A87"/>
    <mergeCell ref="A88:A89"/>
    <mergeCell ref="A90:A93"/>
    <mergeCell ref="A18:A39"/>
    <mergeCell ref="A40:A41"/>
    <mergeCell ref="A42:A44"/>
    <mergeCell ref="A45:A52"/>
    <mergeCell ref="A56:A60"/>
    <mergeCell ref="A63:A65"/>
    <mergeCell ref="A2:A4"/>
    <mergeCell ref="A5:A6"/>
    <mergeCell ref="A7:A9"/>
    <mergeCell ref="A10:A12"/>
    <mergeCell ref="A13:A15"/>
    <mergeCell ref="A16:A17"/>
  </mergeCells>
  <conditionalFormatting sqref="J2:S15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D47F-52E6-414F-8BD8-BC23ABA2D5B8}">
  <dimension ref="A1:C9"/>
  <sheetViews>
    <sheetView tabSelected="1" workbookViewId="0">
      <selection activeCell="D17" sqref="D17"/>
    </sheetView>
  </sheetViews>
  <sheetFormatPr baseColWidth="10" defaultRowHeight="16" x14ac:dyDescent="0.2"/>
  <cols>
    <col min="1" max="1" width="36.1640625" bestFit="1" customWidth="1"/>
    <col min="3" max="3" width="11.83203125" bestFit="1" customWidth="1"/>
  </cols>
  <sheetData>
    <row r="1" spans="1:3" x14ac:dyDescent="0.2">
      <c r="A1" s="1" t="s">
        <v>335</v>
      </c>
      <c r="B1" s="31">
        <v>31.25</v>
      </c>
    </row>
    <row r="4" spans="1:3" x14ac:dyDescent="0.2">
      <c r="A4" t="s">
        <v>333</v>
      </c>
      <c r="B4" s="1" t="s">
        <v>8</v>
      </c>
      <c r="C4" s="1" t="s">
        <v>334</v>
      </c>
    </row>
    <row r="5" spans="1:3" x14ac:dyDescent="0.2">
      <c r="A5" t="s">
        <v>4</v>
      </c>
      <c r="B5">
        <f>SUMIF('Estimacion por Tarea_Funcionali'!E$2:E$151,"X",'Estimacion por Tarea_Funcionali'!$I$2:$I$151)</f>
        <v>1424</v>
      </c>
      <c r="C5" s="30">
        <f>B5*$B$1</f>
        <v>44500</v>
      </c>
    </row>
    <row r="6" spans="1:3" x14ac:dyDescent="0.2">
      <c r="A6" t="s">
        <v>5</v>
      </c>
      <c r="B6">
        <f>SUMIF('Estimacion por Tarea_Funcionali'!F$2:F$151,"X",'Estimacion por Tarea_Funcionali'!$I$2:$I$151)</f>
        <v>365</v>
      </c>
      <c r="C6" s="30">
        <f>B6*$B$1</f>
        <v>11406.25</v>
      </c>
    </row>
    <row r="7" spans="1:3" x14ac:dyDescent="0.2">
      <c r="A7" t="s">
        <v>6</v>
      </c>
      <c r="B7">
        <f>SUMIF('Estimacion por Tarea_Funcionali'!G$2:G$151,"X",'Estimacion por Tarea_Funcionali'!$I$2:$I$151)</f>
        <v>2950</v>
      </c>
      <c r="C7" s="30">
        <f>B7*$B$1</f>
        <v>92187.5</v>
      </c>
    </row>
    <row r="8" spans="1:3" ht="17" thickBot="1" x14ac:dyDescent="0.25">
      <c r="A8" s="29" t="s">
        <v>7</v>
      </c>
      <c r="B8" s="29">
        <f>SUMIF('Estimacion por Tarea_Funcionali'!H$2:H$151,"X",'Estimacion por Tarea_Funcionali'!$I$2:$I$151)</f>
        <v>790</v>
      </c>
      <c r="C8" s="32">
        <f>B8*$B$1</f>
        <v>24687.5</v>
      </c>
    </row>
    <row r="9" spans="1:3" ht="17" thickTop="1" x14ac:dyDescent="0.2">
      <c r="B9" s="1">
        <f>SUM(B5:B8)</f>
        <v>5529</v>
      </c>
      <c r="C9" s="33">
        <f>SUM(C5:C8)</f>
        <v>172781.25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Estimacion por Tarea_Funcionali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Flores Guzman</dc:creator>
  <cp:lastModifiedBy>Carlos Flores Guzman</cp:lastModifiedBy>
  <dcterms:created xsi:type="dcterms:W3CDTF">2026-05-17T07:13:18Z</dcterms:created>
  <dcterms:modified xsi:type="dcterms:W3CDTF">2026-05-18T11:25:22Z</dcterms:modified>
</cp:coreProperties>
</file>