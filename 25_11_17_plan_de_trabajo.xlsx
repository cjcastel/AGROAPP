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fg/Proyectos/Cotizaciones/Agroapp/reunion/"/>
    </mc:Choice>
  </mc:AlternateContent>
  <xr:revisionPtr revIDLastSave="0" documentId="13_ncr:1_{0AB51BE0-9D20-914A-9689-CE08B53FA1E9}" xr6:coauthVersionLast="47" xr6:coauthVersionMax="47" xr10:uidLastSave="{00000000-0000-0000-0000-000000000000}"/>
  <bookViews>
    <workbookView xWindow="0" yWindow="760" windowWidth="30240" windowHeight="18880" activeTab="1" xr2:uid="{832C7FD8-DC3A-9344-B5FA-096B32DD1B69}"/>
  </bookViews>
  <sheets>
    <sheet name="Plan de Trabajo - MVP" sheetId="1" r:id="rId1"/>
    <sheet name="Plan de Trabajo - Proyecto" sheetId="2" r:id="rId2"/>
    <sheet name="Crecimiento" sheetId="3" state="hidden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F14" i="3" s="1"/>
  <c r="D14" i="3"/>
  <c r="F13" i="3"/>
  <c r="E13" i="3"/>
  <c r="D13" i="3"/>
  <c r="I11" i="3"/>
  <c r="H11" i="3"/>
  <c r="G11" i="3"/>
  <c r="E11" i="3"/>
  <c r="D11" i="3"/>
  <c r="G5" i="3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S12" i="3" s="1"/>
  <c r="S13" i="3" s="1"/>
  <c r="F12" i="3"/>
  <c r="K41" i="2"/>
  <c r="K42" i="2" s="1"/>
  <c r="J41" i="2"/>
  <c r="J42" i="2" s="1"/>
  <c r="I41" i="2"/>
  <c r="I42" i="2" s="1"/>
  <c r="G41" i="2"/>
  <c r="K40" i="2"/>
  <c r="J40" i="2"/>
  <c r="I40" i="2"/>
  <c r="H40" i="2"/>
  <c r="H41" i="2" s="1"/>
  <c r="G40" i="2"/>
  <c r="F40" i="2"/>
  <c r="F41" i="2" s="1"/>
  <c r="E40" i="2"/>
  <c r="E41" i="2" s="1"/>
  <c r="D40" i="2"/>
  <c r="D41" i="2" s="1"/>
  <c r="D42" i="2" s="1"/>
  <c r="J42" i="1"/>
  <c r="J43" i="1" s="1"/>
  <c r="J44" i="1" s="1"/>
  <c r="I42" i="1"/>
  <c r="I43" i="1" s="1"/>
  <c r="I44" i="1" s="1"/>
  <c r="H42" i="1"/>
  <c r="H43" i="1" s="1"/>
  <c r="H44" i="1" s="1"/>
  <c r="G42" i="1"/>
  <c r="G43" i="1" s="1"/>
  <c r="G44" i="1" s="1"/>
  <c r="F42" i="1"/>
  <c r="F43" i="1" s="1"/>
  <c r="F44" i="1" s="1"/>
  <c r="E42" i="1"/>
  <c r="E43" i="1" s="1"/>
  <c r="E44" i="1" s="1"/>
  <c r="D42" i="1"/>
  <c r="D43" i="1" s="1"/>
  <c r="D44" i="1" s="1"/>
  <c r="R30" i="1"/>
  <c r="W39" i="2"/>
  <c r="V39" i="2"/>
  <c r="W38" i="2"/>
  <c r="V38" i="2"/>
  <c r="X38" i="2" s="1"/>
  <c r="W37" i="2"/>
  <c r="V37" i="2"/>
  <c r="X37" i="2" s="1"/>
  <c r="X36" i="2"/>
  <c r="W36" i="2"/>
  <c r="V36" i="2"/>
  <c r="W35" i="2"/>
  <c r="V35" i="2"/>
  <c r="X35" i="2" s="1"/>
  <c r="W34" i="2"/>
  <c r="V34" i="2"/>
  <c r="X34" i="2" s="1"/>
  <c r="W33" i="2"/>
  <c r="X33" i="2" s="1"/>
  <c r="V33" i="2"/>
  <c r="W32" i="2"/>
  <c r="V32" i="2"/>
  <c r="X32" i="2" s="1"/>
  <c r="W31" i="2"/>
  <c r="V31" i="2"/>
  <c r="W30" i="2"/>
  <c r="V30" i="2"/>
  <c r="X30" i="2" s="1"/>
  <c r="W29" i="2"/>
  <c r="V29" i="2"/>
  <c r="X29" i="2" s="1"/>
  <c r="W28" i="2"/>
  <c r="V28" i="2"/>
  <c r="X28" i="2" s="1"/>
  <c r="W27" i="2"/>
  <c r="V27" i="2"/>
  <c r="X27" i="2" s="1"/>
  <c r="X26" i="2"/>
  <c r="W26" i="2"/>
  <c r="V26" i="2"/>
  <c r="W25" i="2"/>
  <c r="V25" i="2"/>
  <c r="W24" i="2"/>
  <c r="V24" i="2"/>
  <c r="X24" i="2" s="1"/>
  <c r="W23" i="2"/>
  <c r="X23" i="2" s="1"/>
  <c r="V23" i="2"/>
  <c r="W22" i="2"/>
  <c r="V22" i="2"/>
  <c r="W21" i="2"/>
  <c r="V21" i="2"/>
  <c r="X21" i="2" s="1"/>
  <c r="W20" i="2"/>
  <c r="V20" i="2"/>
  <c r="W19" i="2"/>
  <c r="V19" i="2"/>
  <c r="X19" i="2" s="1"/>
  <c r="W18" i="2"/>
  <c r="V18" i="2"/>
  <c r="X18" i="2" s="1"/>
  <c r="W17" i="2"/>
  <c r="V17" i="2"/>
  <c r="W16" i="2"/>
  <c r="X16" i="2" s="1"/>
  <c r="V16" i="2"/>
  <c r="W15" i="2"/>
  <c r="V15" i="2"/>
  <c r="X15" i="2" s="1"/>
  <c r="W14" i="2"/>
  <c r="V14" i="2"/>
  <c r="X14" i="2" s="1"/>
  <c r="W13" i="2"/>
  <c r="X13" i="2" s="1"/>
  <c r="V13" i="2"/>
  <c r="W12" i="2"/>
  <c r="V12" i="2"/>
  <c r="W11" i="2"/>
  <c r="V11" i="2"/>
  <c r="X11" i="2" s="1"/>
  <c r="W10" i="2"/>
  <c r="V10" i="2"/>
  <c r="X10" i="2" s="1"/>
  <c r="W9" i="2"/>
  <c r="V9" i="2"/>
  <c r="X9" i="2" s="1"/>
  <c r="W8" i="2"/>
  <c r="V8" i="2"/>
  <c r="X8" i="2" s="1"/>
  <c r="W7" i="2"/>
  <c r="V7" i="2"/>
  <c r="W6" i="2"/>
  <c r="X6" i="2" s="1"/>
  <c r="V6" i="2"/>
  <c r="W5" i="2"/>
  <c r="V5" i="2"/>
  <c r="X5" i="2" s="1"/>
  <c r="W4" i="2"/>
  <c r="V4" i="2"/>
  <c r="X4" i="2" s="1"/>
  <c r="W3" i="2"/>
  <c r="X3" i="2" s="1"/>
  <c r="V3" i="2"/>
  <c r="S2" i="1"/>
  <c r="T2" i="1" s="1"/>
  <c r="W2" i="2"/>
  <c r="X2" i="2" s="1"/>
  <c r="V2" i="2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S21" i="1"/>
  <c r="T21" i="1" s="1"/>
  <c r="S20" i="1"/>
  <c r="T20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10" i="1"/>
  <c r="T10" i="1" s="1"/>
  <c r="S9" i="1"/>
  <c r="T9" i="1" s="1"/>
  <c r="S8" i="1"/>
  <c r="T8" i="1" s="1"/>
  <c r="S7" i="1"/>
  <c r="T7" i="1" s="1"/>
  <c r="S6" i="1"/>
  <c r="T6" i="1" s="1"/>
  <c r="S5" i="1"/>
  <c r="T5" i="1" s="1"/>
  <c r="S4" i="1"/>
  <c r="T4" i="1" s="1"/>
  <c r="S3" i="1"/>
  <c r="T3" i="1" s="1"/>
  <c r="R41" i="1"/>
  <c r="R40" i="1"/>
  <c r="R39" i="1"/>
  <c r="R38" i="1"/>
  <c r="R37" i="1"/>
  <c r="R36" i="1"/>
  <c r="R35" i="1"/>
  <c r="R34" i="1"/>
  <c r="R33" i="1"/>
  <c r="R32" i="1"/>
  <c r="R31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L12" i="3" l="1"/>
  <c r="L13" i="3" s="1"/>
  <c r="J12" i="3"/>
  <c r="J13" i="3" s="1"/>
  <c r="K12" i="3"/>
  <c r="K13" i="3" s="1"/>
  <c r="G12" i="3"/>
  <c r="G13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H12" i="3"/>
  <c r="H13" i="3" s="1"/>
  <c r="R12" i="3"/>
  <c r="R13" i="3" s="1"/>
  <c r="M12" i="3"/>
  <c r="M13" i="3" s="1"/>
  <c r="N12" i="3"/>
  <c r="N13" i="3" s="1"/>
  <c r="O12" i="3"/>
  <c r="O13" i="3" s="1"/>
  <c r="P12" i="3"/>
  <c r="P13" i="3" s="1"/>
  <c r="Q12" i="3"/>
  <c r="Q13" i="3" s="1"/>
  <c r="I12" i="3"/>
  <c r="I13" i="3" s="1"/>
  <c r="X20" i="2"/>
  <c r="X25" i="2"/>
  <c r="X39" i="2"/>
  <c r="X7" i="2"/>
  <c r="X40" i="2" s="1"/>
  <c r="X42" i="2" s="1"/>
  <c r="X12" i="2"/>
  <c r="X31" i="2"/>
  <c r="X17" i="2"/>
  <c r="X22" i="2"/>
  <c r="E42" i="2"/>
  <c r="F42" i="2"/>
  <c r="G42" i="2"/>
  <c r="H42" i="2"/>
  <c r="T30" i="1"/>
  <c r="T42" i="1"/>
  <c r="T44" i="1" s="1"/>
</calcChain>
</file>

<file path=xl/sharedStrings.xml><?xml version="1.0" encoding="utf-8"?>
<sst xmlns="http://schemas.openxmlformats.org/spreadsheetml/2006/main" count="440" uniqueCount="214">
  <si>
    <t>Actividad</t>
  </si>
  <si>
    <t>Tarea</t>
  </si>
  <si>
    <t>Descripción</t>
  </si>
  <si>
    <t>Horas PM</t>
  </si>
  <si>
    <t>Horas Líder Técnico</t>
  </si>
  <si>
    <t>Horas Dev Frontend</t>
  </si>
  <si>
    <t>Horas Dev Backend</t>
  </si>
  <si>
    <t>Horas Data Science</t>
  </si>
  <si>
    <t>Horas QA</t>
  </si>
  <si>
    <t>Horas Comercial</t>
  </si>
  <si>
    <t>Mes 1</t>
  </si>
  <si>
    <t>Mes 2</t>
  </si>
  <si>
    <t>Mes 3</t>
  </si>
  <si>
    <t>Mes 4</t>
  </si>
  <si>
    <t>Mes 5</t>
  </si>
  <si>
    <t>Mes 6</t>
  </si>
  <si>
    <t>Descubrimiento y análisis funcional del MVP</t>
  </si>
  <si>
    <t>Workshop inicial de negocio agro-ganadero</t>
  </si>
  <si>
    <t>Reuniones con cliente para entender modelo agro-ganadero, tipos de explotación, requisitos regulatorios (libro ganadero, cuaderno de campo) y visión de producto.</t>
  </si>
  <si>
    <t>X</t>
  </si>
  <si>
    <t>Levantamiento detallado de requisitos y casos de uso</t>
  </si>
  <si>
    <t>Entrevistas y sesiones para levantar flujos clave (altas/bajas, tratamientos, fertilización, reportes) y documentar historias de usuario del MVP.</t>
  </si>
  <si>
    <t>Modelado de procesos clave (agricultura, ganadería, reportes)</t>
  </si>
  <si>
    <t>Diagramar procesos AS-IS y TO-BE, con foco en digitalización de registros y generación automática de libros/cuadernos.</t>
  </si>
  <si>
    <t>Definición de alcance y backlog del MVP</t>
  </si>
  <si>
    <t>Priorización de funcionalidades, definición de criterios de aceptación y roadmap de versiones futuras.</t>
  </si>
  <si>
    <t>UX/UI y prototipado web responsivo</t>
  </si>
  <si>
    <t>Definición de lineamientos visuales y design system</t>
  </si>
  <si>
    <t>Definir paleta, componentes UI (tablas, formularios, KPIs, mapas esquemáticos) y principios de diseño responsive para escritorio/móvil.</t>
  </si>
  <si>
    <t>Wireframes de alto nivel para módulos</t>
  </si>
  <si>
    <t>Crear wireframes para login, dashboard, agricultura (parcelas, tratamientos), ganadería (libro), y reportería.</t>
  </si>
  <si>
    <t>Mockups detallados y prototipo navegable</t>
  </si>
  <si>
    <t>Pasar wireframes a mockups high-fidelity (como el HTML que hicimos) y un prototipo navegable para validación con el cliente.</t>
  </si>
  <si>
    <t>Ajustes UX tras feedback cliente</t>
  </si>
  <si>
    <t>Iteraciones de diseño tras pruebas internas/cliente para asegurar fluidez en flujos clave.</t>
  </si>
  <si>
    <t>Arquitectura técnica y preparación de entornos</t>
  </si>
  <si>
    <t>Definición arquitectura lógica y tecnológica</t>
  </si>
  <si>
    <t>Selección de stack (Frontend SPA/SSR, API REST, BD relacional), definición capas y patrones (autenticación, logging, auditoría).</t>
  </si>
  <si>
    <t>Diseño modelo de datos base</t>
  </si>
  <si>
    <t>Modelo entidad–relación para parcelas SIGPAC, animales (DIB), movimientos, tratamientos, fertilización y logs de actividad.</t>
  </si>
  <si>
    <t>Configuración de entornos y CI/CD básica</t>
  </si>
  <si>
    <t>Creación de entornos dev/test/demo, pipelines de build/deploy, gestión de variables de entorno y backups iniciales.</t>
  </si>
  <si>
    <t>Diseño de seguridad, roles y autenticación</t>
  </si>
  <si>
    <t>Definir esquema de roles (admin, técnico, consultor), seguridad a nivel API y mecanismo de login (JWT/OAuth) para el MVP.</t>
  </si>
  <si>
    <t>Desarrollo core plataforma web</t>
  </si>
  <si>
    <t>Implementación de login y gestión de usuarios</t>
  </si>
  <si>
    <t>Desarrollo de pantalla de login, gestión básica de usuarios y asociación a explotaciones (REGA) para acceso al sistema.</t>
  </si>
  <si>
    <t>Layout general, navegación y responsive</t>
  </si>
  <si>
    <t>Implementar layout con menú superior, lateral y tercer nivel, asegurando usabilidad en desktop y móvil.</t>
  </si>
  <si>
    <t>Gestión de catálogos y datos maestros</t>
  </si>
  <si>
    <t>Crear catálogos de cultivos, razas, tipos de movimientos, tipos de tratamientos, unidades, etc. (CRUD simples).</t>
  </si>
  <si>
    <t>Configuración por explotación y parámetros de exportación</t>
  </si>
  <si>
    <t>Pantallas para ajustar parámetros de explotación (formato de libros, comunidad autónoma, unidades, etc.).</t>
  </si>
  <si>
    <t>Desarrollo módulo Agricultura (SIGPAC, tratamientos y fertilización)</t>
  </si>
  <si>
    <t>CRUD de parcelas vinculadas a SIGPAC</t>
  </si>
  <si>
    <t>Implementar listado, alta/edición/baja de parcelas, con campos SIGPAC y alias interno; enlazar con mapa esquemático.</t>
  </si>
  <si>
    <t>Registro de tratamientos fitosanitarios (alta)</t>
  </si>
  <si>
    <t>Formularios para registrar tratamientos (producto, dosis, superficie, aplicador, carnet, motivo), vinculados a parcela/cultivo.</t>
  </si>
  <si>
    <t>Consulta de tratamientos fitosanitarios</t>
  </si>
  <si>
    <t>Listados filtrables por año, parcela, cultivo, producto, con opción de exportar a Excel.</t>
  </si>
  <si>
    <t>Registro de fertilización y plan de abonado</t>
  </si>
  <si>
    <t>Formularios para fertilización (producto, dosis, superficie) y vista de plan de abonado por cultivo/parcela.</t>
  </si>
  <si>
    <t>Historial de actividades agrícolas y datos para Cuaderno de Campo</t>
  </si>
  <si>
    <t>Vista consolidada de actividades (siembra, tratamientos, fertilización) y preparación de estructura de datos para el Cuaderno de Campo.</t>
  </si>
  <si>
    <t>Desarrollo módulo Ganadería (Libro Registro)</t>
  </si>
  <si>
    <t>Registro de altas y bajas de animales</t>
  </si>
  <si>
    <t>Implementar altas/bajas (nacimientos, compras, ventas, muertes) con DIB, sexo, raza, origen/destino, madre/padre.</t>
  </si>
  <si>
    <t>Registro de tratamientos veterinarios (alta y consulta)</t>
  </si>
  <si>
    <t>Formularios y listados para tratamientos (medicamento, dosis, vía, periodo de retiro, veterinario), por DIB.</t>
  </si>
  <si>
    <t>Registro de alimentos suministrados</t>
  </si>
  <si>
    <t>Pantalla para registrar compras de alimento, lotes, cantidades y proveedor, asociando a la explotación.</t>
  </si>
  <si>
    <t>Definición de estructura de Libro Registro Ganadero</t>
  </si>
  <si>
    <t>Configurar estructura interna del libro (secciones, columnas, orden) según requisitos generales y por CCAA.</t>
  </si>
  <si>
    <t>Generación básica de archivo de Libro Ganadero</t>
  </si>
  <si>
    <t>Implementar exportador que genere Libro Ganadero en PDF/Excel a partir de los registros del sistema.</t>
  </si>
  <si>
    <t>Reportería y dashboards</t>
  </si>
  <si>
    <t>Definición de KPIs agro-ganaderos del MVP</t>
  </si>
  <si>
    <t>Definir indicadores (nº animales activos, tratamientos por periodo, ha tratadas, etc.) y criterios de cálculo.</t>
  </si>
  <si>
    <t>Implementación de dashboard resumen agro-ganadero</t>
  </si>
  <si>
    <t>Desarrollar dashboard de inicio con KPIs clave, tarjetas de resumen y alertas (como en mockup).</t>
  </si>
  <si>
    <t>Implementación de vistas de libros oficiales y Cuaderno de Campo</t>
  </si>
  <si>
    <t>Vistas de generación de Libro Ganadero y Cuaderno de Campo, con selección de año/CCAA y acciones de exportación.</t>
  </si>
  <si>
    <t>Módulo de exportaciones y descargas</t>
  </si>
  <si>
    <t>Desarrollo de centro de descargas para PDFs/Excels y lógica de generación bajo demanda.</t>
  </si>
  <si>
    <t>QA, pruebas con usuario y despliegue</t>
  </si>
  <si>
    <t>Diseño del plan de pruebas y casos de prueba</t>
  </si>
  <si>
    <t>Definir estrategia de pruebas, casos funcionales y criterios de aceptación por módulo.</t>
  </si>
  <si>
    <t>Pruebas funcionales, regresión y corrección de bugs</t>
  </si>
  <si>
    <t>Ejecución de pruebas, registro de incidencias, priorización y corrección de bugs en frontend/backend.</t>
  </si>
  <si>
    <t>Pruebas de seguridad básica y rendimiento</t>
  </si>
  <si>
    <t>Validación básica de roles, accesos, protección de datos y rendimiento en escenarios simples.</t>
  </si>
  <si>
    <t>Soporte a pruebas de usuario (UAT) y ajustes finales</t>
  </si>
  <si>
    <t>Acompañar al cliente en pruebas UAT, recoger feedback y aplicar ajustes finales del MVP.</t>
  </si>
  <si>
    <t>Preparación de despliegue y documentación</t>
  </si>
  <si>
    <t>Configurar despliegue inicial, preparar documentación técnica básica y manual rápido de uso para clientes piloto.</t>
  </si>
  <si>
    <t>Comercialización y lanzamiento del MVP</t>
  </si>
  <si>
    <t>Definición de propuesta de valor y pricing</t>
  </si>
  <si>
    <t>Definir propuesta de valor del MVP (beneficios vs. libro/cuaderno manual), segmentos objetivo y modelo de precios.</t>
  </si>
  <si>
    <t>Preparación de material comercial y demo</t>
  </si>
  <si>
    <t>Crear presentación, one-pager, argumentario comercial y script de demo usando el entorno demo de AgroApp.</t>
  </si>
  <si>
    <t>Identificación y contacto con explotaciones piloto</t>
  </si>
  <si>
    <t>Seleccionar primeras explotaciones agro-ganaderas objetivo y realizar prospección/comunicación inicial.</t>
  </si>
  <si>
    <t>Demos comerciales y negociación con pilotos</t>
  </si>
  <si>
    <t>Realizar demos personalizadas, recoger feedback de negocio y cerrar acuerdos de pilotos pagados o subvencionados.</t>
  </si>
  <si>
    <t>Feedback de mercado y roadmap post-MVP</t>
  </si>
  <si>
    <t>Consolidar feedback de clientes piloto, priorizar mejoras y definir backlog para siguientes versiones.</t>
  </si>
  <si>
    <t>Horas Dev Mobile</t>
  </si>
  <si>
    <t>Mes 7</t>
  </si>
  <si>
    <t>Mes 8</t>
  </si>
  <si>
    <t>Mes 9</t>
  </si>
  <si>
    <t>Consolidación y hardening del MVP</t>
  </si>
  <si>
    <t>Refactorización y limpieza de código del MVP</t>
  </si>
  <si>
    <t>Revisar y refactorizar código web existente (frontend/backend) para mejorar mantenibilidad, consistencia de patrones y rendimiento básico.</t>
  </si>
  <si>
    <t>Normalización de modelo de datos y migraciones</t>
  </si>
  <si>
    <t>Ajustar modelo de datos para soportar nuevas funcionalidades (multi-explotación, multi-CCAA) y definir migraciones controladas.</t>
  </si>
  <si>
    <t>Definición de estándares de desarrollo y testing</t>
  </si>
  <si>
    <t>Documentar guías de desarrollo, convenciones de API, manejo de errores, logging y criterios mínimos de cobertura de pruebas.</t>
  </si>
  <si>
    <t>Monitorización básica y observabilidad</t>
  </si>
  <si>
    <t>Configurar logs centralizados, métricas básicas (errores, tiempos de respuesta) y alertas de salud de la plataforma.</t>
  </si>
  <si>
    <t>Ampliación funcional Agricultura avanzada</t>
  </si>
  <si>
    <t>Gestión avanzada de campañas y rotaciones</t>
  </si>
  <si>
    <t>Añadir gestión de campañas por año, rotaciones de cultivos y vínculo con parcelas SIGPAC para análisis multi-campaña.</t>
  </si>
  <si>
    <t>Planificación de labores y calendario agrícola</t>
  </si>
  <si>
    <t>Calendario de labores (siembra, tratamientos, fertilización, siega) con vista mensual/semanal y estado de ejecución.</t>
  </si>
  <si>
    <t>Gestión avanzada de productos fitosanitarios y fertilizantes</t>
  </si>
  <si>
    <t>Catálogo ampliado con materias activas, límites legales, alertas de incompatibilidad y control de stock básico.</t>
  </si>
  <si>
    <t>Mejoras en Cuaderno de Campo multi-CCAA</t>
  </si>
  <si>
    <t>Adaptar estructuras y formatos del Cuaderno de Campo a varias CCAA (plantillas y reglas parametrizables).</t>
  </si>
  <si>
    <t>Ampliación funcional Ganadería avanzada</t>
  </si>
  <si>
    <t>Gestión de lotes, corrales y ubicaciones</t>
  </si>
  <si>
    <t>Añadir estructura de lotes, corrales/pastos y movimientos internos para seguimiento espacial del ganado dentro de la explotación.</t>
  </si>
  <si>
    <t>Módulo de reproducciones y genealogía básica</t>
  </si>
  <si>
    <t>Registrar cubriciones, inseminaciones, diagnósticos de gestación y árbol sencillo de genealogía (madre/padre).</t>
  </si>
  <si>
    <t>Registro ampliado de incidencias y mortalidad</t>
  </si>
  <si>
    <t>Incorporar incidencias (cojeras, accidentes) y mortalidad con causas, para análisis sanitario y cumplimiento.</t>
  </si>
  <si>
    <t>Mejoras del Libro Ganadero multi-CCAA</t>
  </si>
  <si>
    <t>Parametrizar columnas/secciones para diferentes CCAA, generando libros válidos según normativa regional.</t>
  </si>
  <si>
    <t>Integraciones y automatización de datos</t>
  </si>
  <si>
    <t>Integración con servicios SIGPAC externos</t>
  </si>
  <si>
    <t>Definir y desarrollar integración (consulta o importación) con servicios externos SIGPAC para facilitar alta/validación de parcelas.</t>
  </si>
  <si>
    <t>Importación/exportación de datos de REGA y DIB</t>
  </si>
  <si>
    <t>Diseñar e implementar mecanismos de importación de animales desde ficheros oficiales (cuando aplique) y exportación compatible.</t>
  </si>
  <si>
    <t>Automatización de cargas masivas (Excel/CSV)</t>
  </si>
  <si>
    <t>Módulo para importar lotes de datos (tratamientos, movimientos, fertilización) desde ficheros, con validación y feedback de errores.</t>
  </si>
  <si>
    <t>Preparación para futuras integraciones IoT / sensores</t>
  </si>
  <si>
    <t>Definir estructura de datos y endpoints para recibir información de sensores (temperatura, humedad, etc.) en versiones futuras.</t>
  </si>
  <si>
    <t>Analítica avanzada y modelos de apoyo a decisión</t>
  </si>
  <si>
    <t>Diseño de KPIs avanzados y cuadros de mando</t>
  </si>
  <si>
    <t>Definir indicadores adicionales (índice sanitario, carga ganadera por ha, uso fitosanitario por cultivo, etc.).</t>
  </si>
  <si>
    <t>Modelo básico de riesgos sanitarios ganaderos</t>
  </si>
  <si>
    <t>Prototipo de modelo de riesgo simple (reglas/ML ligero) para detectar animales/explotaciones con mayor riesgo sanitario.</t>
  </si>
  <si>
    <t>Análisis de productividad y costes por campaña</t>
  </si>
  <si>
    <t>Cálculos de rendimiento/ha, costes por cultivo y margen estimado por campaña, integrando datos de insumos y producción.</t>
  </si>
  <si>
    <t>Integración de KPIs y modelos en dashboards</t>
  </si>
  <si>
    <t>Incorporar modelos/indicadores en dashboards web, con visualización sencilla para el ganadero/agricultor.</t>
  </si>
  <si>
    <t>Desarrollo App Móvil AgroApp</t>
  </si>
  <si>
    <t>Diseño UX/UI específico para móvil</t>
  </si>
  <si>
    <t>Diseñar flujos móviles (registro in situ de tratamientos, fotos, escaneo de crotales/códigos) y componentes nativos.</t>
  </si>
  <si>
    <t>Setup del proyecto móvil y arquitectura</t>
  </si>
  <si>
    <t>Elegir tecnología (p.ej. React Native/Flutter) y configurar proyecto, navegación, estado, acceso a APIs y almacenamiento local.</t>
  </si>
  <si>
    <t>Implementación de flujos móviles ganaderos</t>
  </si>
  <si>
    <t>Desarrollar pantallas móviles para altas/bajas, tratamientos veterinarios, consulta rápida de DIB y libro ganadero básico.</t>
  </si>
  <si>
    <t>Implementación de flujos móviles agrícolas</t>
  </si>
  <si>
    <t>Desarrollar pantallas móviles para registrar labores, tratamientos y fertilización en campo (modo offline ligero).</t>
  </si>
  <si>
    <t>Pruebas móviles, publicación y soporte inicial</t>
  </si>
  <si>
    <t>Pruebas en dispositivos reales, optimización de rendimiento, preparación para publicación y soporte a primeros usuarios móviles.</t>
  </si>
  <si>
    <t>Plataforma multi-cliente, seguridad y compliance</t>
  </si>
  <si>
    <t>Multi-tenant y segregación de datos por cliente</t>
  </si>
  <si>
    <t>Adaptar la plataforma para gestionar múltiples explotaciones/clientes en un mismo entorno con separación de datos.</t>
  </si>
  <si>
    <t>Gestión avanzada de roles y permisos</t>
  </si>
  <si>
    <t>Definir y desarrollar roles (titular, técnico, asesor, auditor) con permisos granulares por módulo y explotación.</t>
  </si>
  <si>
    <t>Endurecimiento de seguridad y cumplimiento RGPD</t>
  </si>
  <si>
    <t>Revisar flujos de datos personales, anonimización/pseudonimización básica y políticas de retención/acceso.</t>
  </si>
  <si>
    <t>Auditoría, trazabilidad y bitácoras</t>
  </si>
  <si>
    <t>Implementar logs de auditoría funcional (quién cambió qué y cuándo) accesibles para inspecciones y revisiones internas.</t>
  </si>
  <si>
    <t>Experiencia de usuario, soporte y documentación</t>
  </si>
  <si>
    <t>Mejora de UX a partir de feedback de clientes</t>
  </si>
  <si>
    <t>Recoger feedback de explotaciones piloto, priorizar mejoras UX y aplicar cambios en pantallas web/móvil.</t>
  </si>
  <si>
    <t>Manuales de uso y vídeos cortos</t>
  </si>
  <si>
    <t>Elaborar documentación funcional, FAQ y pequeños vídeos demo para usuarios finales.</t>
  </si>
  <si>
    <t>Soporte a primeros clientes productivos</t>
  </si>
  <si>
    <t>Acompañar a los primeros clientes en la puesta en marcha, resolución de dudas y recogida de incidencias.</t>
  </si>
  <si>
    <t>Roadmap de mejoras continuas post-lanzamiento</t>
  </si>
  <si>
    <t>Consolidar lecciones aprendidas, priorizar backlog y definir próximas releases tras el proyecto completo.</t>
  </si>
  <si>
    <t>Comercialización, alianzas y escalado de mercado</t>
  </si>
  <si>
    <t>Estrategia comercial y segmentación de clientes</t>
  </si>
  <si>
    <t>Definir segmentos objetivo (tipo de explotación, tamaño, región) y estrategia de entrada al mercado (directo/partners).</t>
  </si>
  <si>
    <t>Definición de paquetes y pricing escalonado</t>
  </si>
  <si>
    <t>Diseñar planes (básico, pro, multi-explotación) y política de precios, incluyendo web + móvil y módulos avanzados.</t>
  </si>
  <si>
    <t>Material comercial y sitio web de producto</t>
  </si>
  <si>
    <t>Preparar web pública del producto, fichas técnicas, casos de uso y material de apoyo a la fuerza comercial.</t>
  </si>
  <si>
    <t>Búsqueda de alianzas con cooperativas y asesores</t>
  </si>
  <si>
    <t>Identificar cooperativas, SAT, ADS/Gs y asesorías agrarias/ganaderas para acuerdos de distribución o prescripción.</t>
  </si>
  <si>
    <t>Demos comerciales, pilotos y cierres de contratos</t>
  </si>
  <si>
    <t>Realizar demos, propuestas económicas, negociación y cierre de contratos con explotaciones y/o entidades colaboradoras.</t>
  </si>
  <si>
    <t># Meses</t>
  </si>
  <si>
    <t># HH</t>
  </si>
  <si>
    <t>Total HH</t>
  </si>
  <si>
    <t>Valor HH</t>
  </si>
  <si>
    <t>Promedio HH mensual</t>
  </si>
  <si>
    <t>Promedio HH semanal</t>
  </si>
  <si>
    <t>Total</t>
  </si>
  <si>
    <t>Q1</t>
  </si>
  <si>
    <t>Q2</t>
  </si>
  <si>
    <t>Q3</t>
  </si>
  <si>
    <t>Q4</t>
  </si>
  <si>
    <t>Inversión</t>
  </si>
  <si>
    <t>Costo mensual</t>
  </si>
  <si>
    <t>Venta</t>
  </si>
  <si>
    <t># Clientes</t>
  </si>
  <si>
    <t>Valor Anual:</t>
  </si>
  <si>
    <t>extra cada mes:</t>
  </si>
  <si>
    <t>Resultado</t>
  </si>
  <si>
    <t>Resultado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</si>
</sst>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_-\ [$€-1]"/>
    <numFmt numFmtId="171" formatCode="#,##0.00_-\ [$€-1]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3" fillId="0" borderId="5" xfId="0" applyFont="1" applyBorder="1" applyAlignment="1">
      <alignment horizontal="center" vertical="center" wrapText="1"/>
    </xf>
    <xf numFmtId="0" fontId="0" fillId="0" borderId="6" xfId="0" applyBorder="1"/>
    <xf numFmtId="0" fontId="3" fillId="0" borderId="7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 applyAlignment="1">
      <alignment wrapText="1"/>
    </xf>
    <xf numFmtId="0" fontId="2" fillId="0" borderId="13" xfId="0" applyFont="1" applyBorder="1"/>
    <xf numFmtId="0" fontId="2" fillId="0" borderId="14" xfId="0" applyFont="1" applyBorder="1"/>
    <xf numFmtId="0" fontId="2" fillId="0" borderId="0" xfId="0" applyFont="1" applyFill="1" applyBorder="1"/>
    <xf numFmtId="169" fontId="0" fillId="0" borderId="0" xfId="0" applyNumberFormat="1"/>
    <xf numFmtId="171" fontId="0" fillId="0" borderId="0" xfId="0" applyNumberFormat="1"/>
    <xf numFmtId="0" fontId="2" fillId="0" borderId="0" xfId="0" applyFont="1" applyFill="1" applyBorder="1" applyAlignment="1">
      <alignment horizontal="right" wrapText="1"/>
    </xf>
    <xf numFmtId="1" fontId="0" fillId="0" borderId="0" xfId="0" applyNumberFormat="1"/>
    <xf numFmtId="171" fontId="2" fillId="2" borderId="0" xfId="0" applyNumberFormat="1" applyFont="1" applyFill="1"/>
    <xf numFmtId="0" fontId="2" fillId="2" borderId="0" xfId="0" applyFont="1" applyFill="1"/>
    <xf numFmtId="169" fontId="2" fillId="2" borderId="0" xfId="0" applyNumberFormat="1" applyFont="1" applyFill="1"/>
    <xf numFmtId="1" fontId="0" fillId="0" borderId="0" xfId="0" applyNumberFormat="1" applyAlignment="1">
      <alignment horizontal="center"/>
    </xf>
    <xf numFmtId="9" fontId="0" fillId="0" borderId="0" xfId="1" applyFont="1"/>
    <xf numFmtId="169" fontId="2" fillId="0" borderId="0" xfId="0" applyNumberFormat="1" applyFont="1"/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5"/>
        </patternFill>
      </fill>
    </dxf>
    <dxf>
      <font>
        <color theme="5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28B5-1E80-6541-9F85-60F0A42AAD44}">
  <dimension ref="A1:U44"/>
  <sheetViews>
    <sheetView zoomScale="150" zoomScaleNormal="150" workbookViewId="0">
      <pane xSplit="2" ySplit="2" topLeftCell="O35" activePane="bottomRight" state="frozen"/>
      <selection pane="topRight" activeCell="C1" sqref="C1"/>
      <selection pane="bottomLeft" activeCell="A3" sqref="A3"/>
      <selection pane="bottomRight" activeCell="T44" sqref="T44"/>
    </sheetView>
  </sheetViews>
  <sheetFormatPr baseColWidth="10" defaultRowHeight="16" x14ac:dyDescent="0.2"/>
  <cols>
    <col min="1" max="1" width="33.83203125" customWidth="1"/>
    <col min="2" max="2" width="34.1640625" style="1" customWidth="1"/>
    <col min="3" max="3" width="56" customWidth="1"/>
    <col min="20" max="20" width="11.33203125" bestFit="1" customWidth="1"/>
  </cols>
  <sheetData>
    <row r="1" spans="1:20" ht="18" thickBot="1" x14ac:dyDescent="0.25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5" t="s">
        <v>15</v>
      </c>
      <c r="R1" s="26" t="s">
        <v>195</v>
      </c>
      <c r="S1" s="26" t="s">
        <v>196</v>
      </c>
      <c r="T1" s="26" t="s">
        <v>197</v>
      </c>
    </row>
    <row r="2" spans="1:20" ht="51" x14ac:dyDescent="0.2">
      <c r="A2" s="11" t="s">
        <v>16</v>
      </c>
      <c r="B2" s="2" t="s">
        <v>17</v>
      </c>
      <c r="C2" s="3" t="s">
        <v>18</v>
      </c>
      <c r="D2" s="4">
        <v>8</v>
      </c>
      <c r="E2" s="4">
        <v>3</v>
      </c>
      <c r="F2" s="4">
        <v>0</v>
      </c>
      <c r="G2" s="4">
        <v>0</v>
      </c>
      <c r="H2" s="4">
        <v>4</v>
      </c>
      <c r="I2" s="4">
        <v>0</v>
      </c>
      <c r="J2" s="4">
        <v>3</v>
      </c>
      <c r="K2" s="4" t="s">
        <v>19</v>
      </c>
      <c r="L2" s="4"/>
      <c r="M2" s="4"/>
      <c r="N2" s="4"/>
      <c r="O2" s="4"/>
      <c r="P2" s="12"/>
      <c r="R2">
        <f>6-COUNTBLANK(K2:P2)</f>
        <v>1</v>
      </c>
      <c r="S2">
        <f>SUM(D2:J2)</f>
        <v>18</v>
      </c>
      <c r="T2">
        <f>R2*S2</f>
        <v>18</v>
      </c>
    </row>
    <row r="3" spans="1:20" ht="51" x14ac:dyDescent="0.2">
      <c r="A3" s="11"/>
      <c r="B3" s="2" t="s">
        <v>20</v>
      </c>
      <c r="C3" s="3" t="s">
        <v>21</v>
      </c>
      <c r="D3" s="4">
        <v>14</v>
      </c>
      <c r="E3" s="4">
        <v>6</v>
      </c>
      <c r="F3" s="4">
        <v>0</v>
      </c>
      <c r="G3" s="4">
        <v>0</v>
      </c>
      <c r="H3" s="4">
        <v>4</v>
      </c>
      <c r="I3" s="4">
        <v>0</v>
      </c>
      <c r="J3" s="4">
        <v>0</v>
      </c>
      <c r="K3" s="4" t="s">
        <v>19</v>
      </c>
      <c r="L3" s="4" t="s">
        <v>19</v>
      </c>
      <c r="M3" s="4"/>
      <c r="N3" s="4"/>
      <c r="O3" s="4"/>
      <c r="P3" s="12"/>
      <c r="R3">
        <f t="shared" ref="R3:R41" si="0">6-COUNTBLANK(K3:P3)</f>
        <v>2</v>
      </c>
      <c r="S3">
        <f t="shared" ref="S3:S41" si="1">SUM(D3:J3)</f>
        <v>24</v>
      </c>
      <c r="T3">
        <f t="shared" ref="T3:T41" si="2">R3*S3</f>
        <v>48</v>
      </c>
    </row>
    <row r="4" spans="1:20" ht="34" x14ac:dyDescent="0.2">
      <c r="A4" s="11"/>
      <c r="B4" s="2" t="s">
        <v>22</v>
      </c>
      <c r="C4" s="3" t="s">
        <v>23</v>
      </c>
      <c r="D4" s="4">
        <v>8</v>
      </c>
      <c r="E4" s="4">
        <v>6</v>
      </c>
      <c r="F4" s="4">
        <v>0</v>
      </c>
      <c r="G4" s="4">
        <v>0</v>
      </c>
      <c r="H4" s="4">
        <v>6</v>
      </c>
      <c r="I4" s="4">
        <v>0</v>
      </c>
      <c r="J4" s="4">
        <v>0</v>
      </c>
      <c r="K4" s="4" t="s">
        <v>19</v>
      </c>
      <c r="L4" s="4" t="s">
        <v>19</v>
      </c>
      <c r="M4" s="4"/>
      <c r="N4" s="4"/>
      <c r="O4" s="4"/>
      <c r="P4" s="12"/>
      <c r="R4">
        <f t="shared" si="0"/>
        <v>2</v>
      </c>
      <c r="S4">
        <f t="shared" si="1"/>
        <v>20</v>
      </c>
      <c r="T4">
        <f t="shared" si="2"/>
        <v>40</v>
      </c>
    </row>
    <row r="5" spans="1:20" ht="34" x14ac:dyDescent="0.2">
      <c r="A5" s="13"/>
      <c r="B5" s="5" t="s">
        <v>24</v>
      </c>
      <c r="C5" s="6" t="s">
        <v>25</v>
      </c>
      <c r="D5" s="7">
        <v>11</v>
      </c>
      <c r="E5" s="7">
        <v>4</v>
      </c>
      <c r="F5" s="7">
        <v>0</v>
      </c>
      <c r="G5" s="7">
        <v>0</v>
      </c>
      <c r="H5" s="7">
        <v>3</v>
      </c>
      <c r="I5" s="7">
        <v>0</v>
      </c>
      <c r="J5" s="7">
        <v>0</v>
      </c>
      <c r="K5" s="7"/>
      <c r="L5" s="7" t="s">
        <v>19</v>
      </c>
      <c r="M5" s="7"/>
      <c r="N5" s="7"/>
      <c r="O5" s="7"/>
      <c r="P5" s="14"/>
      <c r="R5">
        <f t="shared" si="0"/>
        <v>1</v>
      </c>
      <c r="S5">
        <f t="shared" si="1"/>
        <v>18</v>
      </c>
      <c r="T5">
        <f t="shared" si="2"/>
        <v>18</v>
      </c>
    </row>
    <row r="6" spans="1:20" ht="51" x14ac:dyDescent="0.2">
      <c r="A6" s="11" t="s">
        <v>26</v>
      </c>
      <c r="B6" s="2" t="s">
        <v>27</v>
      </c>
      <c r="C6" s="3" t="s">
        <v>28</v>
      </c>
      <c r="D6" s="4">
        <v>4</v>
      </c>
      <c r="E6" s="4">
        <v>4</v>
      </c>
      <c r="F6" s="4">
        <v>12</v>
      </c>
      <c r="G6" s="4">
        <v>0</v>
      </c>
      <c r="H6" s="4">
        <v>0</v>
      </c>
      <c r="I6" s="4">
        <v>0</v>
      </c>
      <c r="J6" s="4">
        <v>0</v>
      </c>
      <c r="K6" s="4" t="s">
        <v>19</v>
      </c>
      <c r="L6" s="4" t="s">
        <v>19</v>
      </c>
      <c r="M6" s="4"/>
      <c r="N6" s="4"/>
      <c r="O6" s="4"/>
      <c r="P6" s="12"/>
      <c r="R6">
        <f t="shared" si="0"/>
        <v>2</v>
      </c>
      <c r="S6">
        <f t="shared" si="1"/>
        <v>20</v>
      </c>
      <c r="T6">
        <f t="shared" si="2"/>
        <v>40</v>
      </c>
    </row>
    <row r="7" spans="1:20" ht="34" x14ac:dyDescent="0.2">
      <c r="A7" s="11"/>
      <c r="B7" s="2" t="s">
        <v>29</v>
      </c>
      <c r="C7" s="3" t="s">
        <v>30</v>
      </c>
      <c r="D7" s="4">
        <v>4</v>
      </c>
      <c r="E7" s="4">
        <v>3</v>
      </c>
      <c r="F7" s="4">
        <v>14</v>
      </c>
      <c r="G7" s="4">
        <v>0</v>
      </c>
      <c r="H7" s="4">
        <v>0</v>
      </c>
      <c r="I7" s="4">
        <v>0</v>
      </c>
      <c r="J7" s="4">
        <v>0</v>
      </c>
      <c r="K7" s="4" t="s">
        <v>19</v>
      </c>
      <c r="L7" s="4" t="s">
        <v>19</v>
      </c>
      <c r="M7" s="4"/>
      <c r="N7" s="4"/>
      <c r="O7" s="4"/>
      <c r="P7" s="12"/>
      <c r="R7">
        <f t="shared" si="0"/>
        <v>2</v>
      </c>
      <c r="S7">
        <f t="shared" si="1"/>
        <v>21</v>
      </c>
      <c r="T7">
        <f t="shared" si="2"/>
        <v>42</v>
      </c>
    </row>
    <row r="8" spans="1:20" ht="34" x14ac:dyDescent="0.2">
      <c r="A8" s="11"/>
      <c r="B8" s="2" t="s">
        <v>31</v>
      </c>
      <c r="C8" s="3" t="s">
        <v>32</v>
      </c>
      <c r="D8" s="4">
        <v>4</v>
      </c>
      <c r="E8" s="4">
        <v>3</v>
      </c>
      <c r="F8" s="4">
        <v>16</v>
      </c>
      <c r="G8" s="4">
        <v>0</v>
      </c>
      <c r="H8" s="4">
        <v>0</v>
      </c>
      <c r="I8" s="4">
        <v>0</v>
      </c>
      <c r="J8" s="4">
        <v>0</v>
      </c>
      <c r="K8" s="4"/>
      <c r="L8" s="4" t="s">
        <v>19</v>
      </c>
      <c r="M8" s="4" t="s">
        <v>19</v>
      </c>
      <c r="N8" s="4"/>
      <c r="O8" s="4"/>
      <c r="P8" s="12"/>
      <c r="R8">
        <f t="shared" si="0"/>
        <v>2</v>
      </c>
      <c r="S8">
        <f t="shared" si="1"/>
        <v>23</v>
      </c>
      <c r="T8">
        <f t="shared" si="2"/>
        <v>46</v>
      </c>
    </row>
    <row r="9" spans="1:20" ht="34" x14ac:dyDescent="0.2">
      <c r="A9" s="11"/>
      <c r="B9" s="2" t="s">
        <v>33</v>
      </c>
      <c r="C9" s="3" t="s">
        <v>34</v>
      </c>
      <c r="D9" s="4">
        <v>3</v>
      </c>
      <c r="E9" s="4">
        <v>3</v>
      </c>
      <c r="F9" s="4">
        <v>11</v>
      </c>
      <c r="G9" s="4">
        <v>0</v>
      </c>
      <c r="H9" s="4">
        <v>0</v>
      </c>
      <c r="I9" s="4">
        <v>0</v>
      </c>
      <c r="J9" s="4">
        <v>0</v>
      </c>
      <c r="K9" s="4"/>
      <c r="L9" s="4"/>
      <c r="M9" s="4" t="s">
        <v>19</v>
      </c>
      <c r="N9" s="4"/>
      <c r="O9" s="4"/>
      <c r="P9" s="12"/>
      <c r="R9">
        <f t="shared" si="0"/>
        <v>1</v>
      </c>
      <c r="S9">
        <f t="shared" si="1"/>
        <v>17</v>
      </c>
      <c r="T9">
        <f t="shared" si="2"/>
        <v>17</v>
      </c>
    </row>
    <row r="10" spans="1:20" ht="34" x14ac:dyDescent="0.2">
      <c r="A10" s="15" t="s">
        <v>35</v>
      </c>
      <c r="B10" s="8" t="s">
        <v>36</v>
      </c>
      <c r="C10" s="9" t="s">
        <v>37</v>
      </c>
      <c r="D10" s="10">
        <v>6</v>
      </c>
      <c r="E10" s="10">
        <v>11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19</v>
      </c>
      <c r="L10" s="10" t="s">
        <v>19</v>
      </c>
      <c r="M10" s="10"/>
      <c r="N10" s="10"/>
      <c r="O10" s="10"/>
      <c r="P10" s="16"/>
      <c r="R10">
        <f t="shared" si="0"/>
        <v>2</v>
      </c>
      <c r="S10">
        <f t="shared" si="1"/>
        <v>17</v>
      </c>
      <c r="T10">
        <f t="shared" si="2"/>
        <v>34</v>
      </c>
    </row>
    <row r="11" spans="1:20" ht="34" x14ac:dyDescent="0.2">
      <c r="A11" s="11"/>
      <c r="B11" s="2" t="s">
        <v>38</v>
      </c>
      <c r="C11" s="3" t="s">
        <v>39</v>
      </c>
      <c r="D11" s="4">
        <v>4</v>
      </c>
      <c r="E11" s="4">
        <v>7</v>
      </c>
      <c r="F11" s="4">
        <v>0</v>
      </c>
      <c r="G11" s="4">
        <v>0</v>
      </c>
      <c r="H11" s="4">
        <v>4</v>
      </c>
      <c r="I11" s="4">
        <v>0</v>
      </c>
      <c r="J11" s="4">
        <v>0</v>
      </c>
      <c r="K11" s="4" t="s">
        <v>19</v>
      </c>
      <c r="L11" s="4" t="s">
        <v>19</v>
      </c>
      <c r="M11" s="4"/>
      <c r="N11" s="4"/>
      <c r="O11" s="4"/>
      <c r="P11" s="12"/>
      <c r="R11">
        <f t="shared" si="0"/>
        <v>2</v>
      </c>
      <c r="S11">
        <f t="shared" si="1"/>
        <v>15</v>
      </c>
      <c r="T11">
        <f t="shared" si="2"/>
        <v>30</v>
      </c>
    </row>
    <row r="12" spans="1:20" ht="34" x14ac:dyDescent="0.2">
      <c r="A12" s="11"/>
      <c r="B12" s="2" t="s">
        <v>40</v>
      </c>
      <c r="C12" s="3" t="s">
        <v>41</v>
      </c>
      <c r="D12" s="4">
        <v>3</v>
      </c>
      <c r="E12" s="4">
        <v>7</v>
      </c>
      <c r="F12" s="4">
        <v>0</v>
      </c>
      <c r="G12" s="4">
        <v>8</v>
      </c>
      <c r="H12" s="4">
        <v>0</v>
      </c>
      <c r="I12" s="4">
        <v>0</v>
      </c>
      <c r="J12" s="4">
        <v>0</v>
      </c>
      <c r="K12" s="4" t="s">
        <v>19</v>
      </c>
      <c r="L12" s="4" t="s">
        <v>19</v>
      </c>
      <c r="M12" s="4"/>
      <c r="N12" s="4"/>
      <c r="O12" s="4"/>
      <c r="P12" s="12"/>
      <c r="R12">
        <f t="shared" si="0"/>
        <v>2</v>
      </c>
      <c r="S12">
        <f t="shared" si="1"/>
        <v>18</v>
      </c>
      <c r="T12">
        <f t="shared" si="2"/>
        <v>36</v>
      </c>
    </row>
    <row r="13" spans="1:20" ht="34" x14ac:dyDescent="0.2">
      <c r="A13" s="13"/>
      <c r="B13" s="5" t="s">
        <v>42</v>
      </c>
      <c r="C13" s="6" t="s">
        <v>43</v>
      </c>
      <c r="D13" s="7">
        <v>4</v>
      </c>
      <c r="E13" s="7">
        <v>7</v>
      </c>
      <c r="F13" s="7">
        <v>0</v>
      </c>
      <c r="G13" s="7">
        <v>6</v>
      </c>
      <c r="H13" s="7">
        <v>0</v>
      </c>
      <c r="I13" s="7">
        <v>0</v>
      </c>
      <c r="J13" s="7">
        <v>0</v>
      </c>
      <c r="K13" s="7"/>
      <c r="L13" s="7" t="s">
        <v>19</v>
      </c>
      <c r="M13" s="7"/>
      <c r="N13" s="7"/>
      <c r="O13" s="7"/>
      <c r="P13" s="14"/>
      <c r="R13">
        <f t="shared" si="0"/>
        <v>1</v>
      </c>
      <c r="S13">
        <f t="shared" si="1"/>
        <v>17</v>
      </c>
      <c r="T13">
        <f t="shared" si="2"/>
        <v>17</v>
      </c>
    </row>
    <row r="14" spans="1:20" ht="34" x14ac:dyDescent="0.2">
      <c r="A14" s="11" t="s">
        <v>44</v>
      </c>
      <c r="B14" s="2" t="s">
        <v>45</v>
      </c>
      <c r="C14" s="3" t="s">
        <v>46</v>
      </c>
      <c r="D14" s="4">
        <v>3</v>
      </c>
      <c r="E14" s="4">
        <v>4</v>
      </c>
      <c r="F14" s="4">
        <v>12</v>
      </c>
      <c r="G14" s="4">
        <v>14</v>
      </c>
      <c r="H14" s="4">
        <v>0</v>
      </c>
      <c r="I14" s="4">
        <v>0</v>
      </c>
      <c r="J14" s="4">
        <v>0</v>
      </c>
      <c r="K14" s="4"/>
      <c r="L14" s="4" t="s">
        <v>19</v>
      </c>
      <c r="M14" s="4" t="s">
        <v>19</v>
      </c>
      <c r="N14" s="4"/>
      <c r="O14" s="4"/>
      <c r="P14" s="12"/>
      <c r="R14">
        <f t="shared" si="0"/>
        <v>2</v>
      </c>
      <c r="S14">
        <f t="shared" si="1"/>
        <v>33</v>
      </c>
      <c r="T14">
        <f t="shared" si="2"/>
        <v>66</v>
      </c>
    </row>
    <row r="15" spans="1:20" ht="34" x14ac:dyDescent="0.2">
      <c r="A15" s="11"/>
      <c r="B15" s="2" t="s">
        <v>47</v>
      </c>
      <c r="C15" s="3" t="s">
        <v>48</v>
      </c>
      <c r="D15" s="4">
        <v>3</v>
      </c>
      <c r="E15" s="4">
        <v>4</v>
      </c>
      <c r="F15" s="4">
        <v>16</v>
      </c>
      <c r="G15" s="4">
        <v>6</v>
      </c>
      <c r="H15" s="4">
        <v>0</v>
      </c>
      <c r="I15" s="4">
        <v>0</v>
      </c>
      <c r="J15" s="4">
        <v>0</v>
      </c>
      <c r="K15" s="4"/>
      <c r="L15" s="4" t="s">
        <v>19</v>
      </c>
      <c r="M15" s="4" t="s">
        <v>19</v>
      </c>
      <c r="N15" s="4"/>
      <c r="O15" s="4"/>
      <c r="P15" s="12"/>
      <c r="R15">
        <f t="shared" si="0"/>
        <v>2</v>
      </c>
      <c r="S15">
        <f t="shared" si="1"/>
        <v>29</v>
      </c>
      <c r="T15">
        <f t="shared" si="2"/>
        <v>58</v>
      </c>
    </row>
    <row r="16" spans="1:20" ht="34" x14ac:dyDescent="0.2">
      <c r="A16" s="11"/>
      <c r="B16" s="2" t="s">
        <v>49</v>
      </c>
      <c r="C16" s="3" t="s">
        <v>50</v>
      </c>
      <c r="D16" s="4">
        <v>3</v>
      </c>
      <c r="E16" s="4">
        <v>4</v>
      </c>
      <c r="F16" s="4">
        <v>7</v>
      </c>
      <c r="G16" s="4">
        <v>11</v>
      </c>
      <c r="H16" s="4">
        <v>0</v>
      </c>
      <c r="I16" s="4">
        <v>0</v>
      </c>
      <c r="J16" s="4">
        <v>0</v>
      </c>
      <c r="K16" s="4"/>
      <c r="L16" s="4" t="s">
        <v>19</v>
      </c>
      <c r="M16" s="4" t="s">
        <v>19</v>
      </c>
      <c r="N16" s="4"/>
      <c r="O16" s="4"/>
      <c r="P16" s="12"/>
      <c r="R16">
        <f t="shared" si="0"/>
        <v>2</v>
      </c>
      <c r="S16">
        <f t="shared" si="1"/>
        <v>25</v>
      </c>
      <c r="T16">
        <f t="shared" si="2"/>
        <v>50</v>
      </c>
    </row>
    <row r="17" spans="1:20" ht="34" x14ac:dyDescent="0.2">
      <c r="A17" s="11"/>
      <c r="B17" s="2" t="s">
        <v>51</v>
      </c>
      <c r="C17" s="3" t="s">
        <v>52</v>
      </c>
      <c r="D17" s="4">
        <v>3</v>
      </c>
      <c r="E17" s="4">
        <v>4</v>
      </c>
      <c r="F17" s="4">
        <v>7</v>
      </c>
      <c r="G17" s="4">
        <v>11</v>
      </c>
      <c r="H17" s="4">
        <v>0</v>
      </c>
      <c r="I17" s="4">
        <v>0</v>
      </c>
      <c r="J17" s="4">
        <v>0</v>
      </c>
      <c r="K17" s="4"/>
      <c r="L17" s="4"/>
      <c r="M17" s="4" t="s">
        <v>19</v>
      </c>
      <c r="N17" s="4" t="s">
        <v>19</v>
      </c>
      <c r="O17" s="4"/>
      <c r="P17" s="12"/>
      <c r="R17">
        <f t="shared" si="0"/>
        <v>2</v>
      </c>
      <c r="S17">
        <f t="shared" si="1"/>
        <v>25</v>
      </c>
      <c r="T17">
        <f t="shared" si="2"/>
        <v>50</v>
      </c>
    </row>
    <row r="18" spans="1:20" ht="34" x14ac:dyDescent="0.2">
      <c r="A18" s="15" t="s">
        <v>53</v>
      </c>
      <c r="B18" s="8" t="s">
        <v>54</v>
      </c>
      <c r="C18" s="9" t="s">
        <v>55</v>
      </c>
      <c r="D18" s="10">
        <v>3</v>
      </c>
      <c r="E18" s="10">
        <v>4</v>
      </c>
      <c r="F18" s="10">
        <v>16</v>
      </c>
      <c r="G18" s="10">
        <v>12</v>
      </c>
      <c r="H18" s="10">
        <v>0</v>
      </c>
      <c r="I18" s="10">
        <v>0</v>
      </c>
      <c r="J18" s="10">
        <v>0</v>
      </c>
      <c r="K18" s="10"/>
      <c r="L18" s="10"/>
      <c r="M18" s="10" t="s">
        <v>19</v>
      </c>
      <c r="N18" s="10" t="s">
        <v>19</v>
      </c>
      <c r="O18" s="10"/>
      <c r="P18" s="16"/>
      <c r="R18">
        <f t="shared" si="0"/>
        <v>2</v>
      </c>
      <c r="S18">
        <f t="shared" si="1"/>
        <v>35</v>
      </c>
      <c r="T18">
        <f t="shared" si="2"/>
        <v>70</v>
      </c>
    </row>
    <row r="19" spans="1:20" ht="51" x14ac:dyDescent="0.2">
      <c r="A19" s="11"/>
      <c r="B19" s="2" t="s">
        <v>56</v>
      </c>
      <c r="C19" s="3" t="s">
        <v>57</v>
      </c>
      <c r="D19" s="4">
        <v>3</v>
      </c>
      <c r="E19" s="4">
        <v>4</v>
      </c>
      <c r="F19" s="4">
        <v>15</v>
      </c>
      <c r="G19" s="4">
        <v>12</v>
      </c>
      <c r="H19" s="4">
        <v>0</v>
      </c>
      <c r="I19" s="4">
        <v>0</v>
      </c>
      <c r="J19" s="4">
        <v>0</v>
      </c>
      <c r="K19" s="4"/>
      <c r="L19" s="4"/>
      <c r="M19" s="4" t="s">
        <v>19</v>
      </c>
      <c r="N19" s="4" t="s">
        <v>19</v>
      </c>
      <c r="O19" s="4"/>
      <c r="P19" s="12"/>
      <c r="R19">
        <f t="shared" si="0"/>
        <v>2</v>
      </c>
      <c r="S19">
        <f t="shared" si="1"/>
        <v>34</v>
      </c>
      <c r="T19">
        <f t="shared" si="2"/>
        <v>68</v>
      </c>
    </row>
    <row r="20" spans="1:20" ht="34" x14ac:dyDescent="0.2">
      <c r="A20" s="11"/>
      <c r="B20" s="2" t="s">
        <v>58</v>
      </c>
      <c r="C20" s="3" t="s">
        <v>59</v>
      </c>
      <c r="D20" s="4">
        <v>3</v>
      </c>
      <c r="E20" s="4">
        <v>3</v>
      </c>
      <c r="F20" s="4">
        <v>11</v>
      </c>
      <c r="G20" s="4">
        <v>7</v>
      </c>
      <c r="H20" s="4">
        <v>0</v>
      </c>
      <c r="I20" s="4">
        <v>0</v>
      </c>
      <c r="J20" s="4">
        <v>0</v>
      </c>
      <c r="K20" s="4"/>
      <c r="L20" s="4"/>
      <c r="M20" s="4"/>
      <c r="N20" s="4" t="s">
        <v>19</v>
      </c>
      <c r="O20" s="4"/>
      <c r="P20" s="12"/>
      <c r="R20">
        <f t="shared" si="0"/>
        <v>1</v>
      </c>
      <c r="S20">
        <f t="shared" si="1"/>
        <v>24</v>
      </c>
      <c r="T20">
        <f t="shared" si="2"/>
        <v>24</v>
      </c>
    </row>
    <row r="21" spans="1:20" ht="34" x14ac:dyDescent="0.2">
      <c r="A21" s="11"/>
      <c r="B21" s="2" t="s">
        <v>60</v>
      </c>
      <c r="C21" s="3" t="s">
        <v>61</v>
      </c>
      <c r="D21" s="4">
        <v>3</v>
      </c>
      <c r="E21" s="4">
        <v>3</v>
      </c>
      <c r="F21" s="4">
        <v>12</v>
      </c>
      <c r="G21" s="4">
        <v>8</v>
      </c>
      <c r="H21" s="4">
        <v>0</v>
      </c>
      <c r="I21" s="4">
        <v>0</v>
      </c>
      <c r="J21" s="4">
        <v>0</v>
      </c>
      <c r="K21" s="4"/>
      <c r="L21" s="4"/>
      <c r="M21" s="4" t="s">
        <v>19</v>
      </c>
      <c r="N21" s="4" t="s">
        <v>19</v>
      </c>
      <c r="O21" s="4"/>
      <c r="P21" s="12"/>
      <c r="R21">
        <f t="shared" si="0"/>
        <v>2</v>
      </c>
      <c r="S21">
        <f t="shared" si="1"/>
        <v>26</v>
      </c>
      <c r="T21">
        <f t="shared" si="2"/>
        <v>52</v>
      </c>
    </row>
    <row r="22" spans="1:20" ht="51" x14ac:dyDescent="0.2">
      <c r="A22" s="13"/>
      <c r="B22" s="5" t="s">
        <v>62</v>
      </c>
      <c r="C22" s="6" t="s">
        <v>63</v>
      </c>
      <c r="D22" s="7">
        <v>3</v>
      </c>
      <c r="E22" s="7">
        <v>3</v>
      </c>
      <c r="F22" s="7">
        <v>11</v>
      </c>
      <c r="G22" s="7">
        <v>8</v>
      </c>
      <c r="H22" s="7">
        <v>3</v>
      </c>
      <c r="I22" s="7">
        <v>0</v>
      </c>
      <c r="J22" s="7">
        <v>0</v>
      </c>
      <c r="K22" s="7"/>
      <c r="L22" s="7"/>
      <c r="M22" s="7"/>
      <c r="N22" s="7" t="s">
        <v>19</v>
      </c>
      <c r="O22" s="7" t="s">
        <v>19</v>
      </c>
      <c r="P22" s="14"/>
      <c r="R22">
        <f t="shared" si="0"/>
        <v>2</v>
      </c>
      <c r="S22">
        <f t="shared" si="1"/>
        <v>28</v>
      </c>
      <c r="T22">
        <f t="shared" si="2"/>
        <v>56</v>
      </c>
    </row>
    <row r="23" spans="1:20" ht="34" x14ac:dyDescent="0.2">
      <c r="A23" s="11" t="s">
        <v>64</v>
      </c>
      <c r="B23" s="2" t="s">
        <v>65</v>
      </c>
      <c r="C23" s="3" t="s">
        <v>66</v>
      </c>
      <c r="D23" s="4">
        <v>3</v>
      </c>
      <c r="E23" s="4">
        <v>4</v>
      </c>
      <c r="F23" s="4">
        <v>14</v>
      </c>
      <c r="G23" s="4">
        <v>14</v>
      </c>
      <c r="H23" s="4">
        <v>0</v>
      </c>
      <c r="I23" s="4">
        <v>0</v>
      </c>
      <c r="J23" s="4">
        <v>0</v>
      </c>
      <c r="K23" s="4"/>
      <c r="L23" s="4"/>
      <c r="M23" s="4" t="s">
        <v>19</v>
      </c>
      <c r="N23" s="4" t="s">
        <v>19</v>
      </c>
      <c r="O23" s="4"/>
      <c r="P23" s="12"/>
      <c r="R23">
        <f t="shared" si="0"/>
        <v>2</v>
      </c>
      <c r="S23">
        <f t="shared" si="1"/>
        <v>35</v>
      </c>
      <c r="T23">
        <f t="shared" si="2"/>
        <v>70</v>
      </c>
    </row>
    <row r="24" spans="1:20" ht="34" x14ac:dyDescent="0.2">
      <c r="A24" s="11"/>
      <c r="B24" s="2" t="s">
        <v>67</v>
      </c>
      <c r="C24" s="3" t="s">
        <v>68</v>
      </c>
      <c r="D24" s="4">
        <v>3</v>
      </c>
      <c r="E24" s="4">
        <v>4</v>
      </c>
      <c r="F24" s="4">
        <v>14</v>
      </c>
      <c r="G24" s="4">
        <v>12</v>
      </c>
      <c r="H24" s="4">
        <v>0</v>
      </c>
      <c r="I24" s="4">
        <v>0</v>
      </c>
      <c r="J24" s="4">
        <v>0</v>
      </c>
      <c r="K24" s="4"/>
      <c r="L24" s="4"/>
      <c r="M24" s="4" t="s">
        <v>19</v>
      </c>
      <c r="N24" s="4" t="s">
        <v>19</v>
      </c>
      <c r="O24" s="4"/>
      <c r="P24" s="12"/>
      <c r="R24">
        <f t="shared" si="0"/>
        <v>2</v>
      </c>
      <c r="S24">
        <f t="shared" si="1"/>
        <v>33</v>
      </c>
      <c r="T24">
        <f t="shared" si="2"/>
        <v>66</v>
      </c>
    </row>
    <row r="25" spans="1:20" ht="34" x14ac:dyDescent="0.2">
      <c r="A25" s="11"/>
      <c r="B25" s="2" t="s">
        <v>69</v>
      </c>
      <c r="C25" s="3" t="s">
        <v>70</v>
      </c>
      <c r="D25" s="4">
        <v>3</v>
      </c>
      <c r="E25" s="4">
        <v>3</v>
      </c>
      <c r="F25" s="4">
        <v>11</v>
      </c>
      <c r="G25" s="4">
        <v>10</v>
      </c>
      <c r="H25" s="4">
        <v>0</v>
      </c>
      <c r="I25" s="4">
        <v>0</v>
      </c>
      <c r="J25" s="4">
        <v>0</v>
      </c>
      <c r="K25" s="4"/>
      <c r="L25" s="4"/>
      <c r="M25" s="4"/>
      <c r="N25" s="4" t="s">
        <v>19</v>
      </c>
      <c r="O25" s="4" t="s">
        <v>19</v>
      </c>
      <c r="P25" s="12"/>
      <c r="R25">
        <f t="shared" si="0"/>
        <v>2</v>
      </c>
      <c r="S25">
        <f t="shared" si="1"/>
        <v>27</v>
      </c>
      <c r="T25">
        <f t="shared" si="2"/>
        <v>54</v>
      </c>
    </row>
    <row r="26" spans="1:20" ht="34" x14ac:dyDescent="0.2">
      <c r="A26" s="11"/>
      <c r="B26" s="2" t="s">
        <v>71</v>
      </c>
      <c r="C26" s="3" t="s">
        <v>72</v>
      </c>
      <c r="D26" s="4">
        <v>3</v>
      </c>
      <c r="E26" s="4">
        <v>6</v>
      </c>
      <c r="F26" s="4">
        <v>7</v>
      </c>
      <c r="G26" s="4">
        <v>11</v>
      </c>
      <c r="H26" s="4">
        <v>3</v>
      </c>
      <c r="I26" s="4">
        <v>0</v>
      </c>
      <c r="J26" s="4">
        <v>0</v>
      </c>
      <c r="K26" s="4"/>
      <c r="L26" s="4"/>
      <c r="M26" s="4"/>
      <c r="N26" s="4" t="s">
        <v>19</v>
      </c>
      <c r="O26" s="4" t="s">
        <v>19</v>
      </c>
      <c r="P26" s="12"/>
      <c r="R26">
        <f t="shared" si="0"/>
        <v>2</v>
      </c>
      <c r="S26">
        <f t="shared" si="1"/>
        <v>30</v>
      </c>
      <c r="T26">
        <f t="shared" si="2"/>
        <v>60</v>
      </c>
    </row>
    <row r="27" spans="1:20" ht="34" x14ac:dyDescent="0.2">
      <c r="A27" s="11"/>
      <c r="B27" s="2" t="s">
        <v>73</v>
      </c>
      <c r="C27" s="3" t="s">
        <v>74</v>
      </c>
      <c r="D27" s="4">
        <v>3</v>
      </c>
      <c r="E27" s="4">
        <v>6</v>
      </c>
      <c r="F27" s="4">
        <v>6</v>
      </c>
      <c r="G27" s="4">
        <v>14</v>
      </c>
      <c r="H27" s="4">
        <v>3</v>
      </c>
      <c r="I27" s="4">
        <v>0</v>
      </c>
      <c r="J27" s="4">
        <v>0</v>
      </c>
      <c r="K27" s="4"/>
      <c r="L27" s="4"/>
      <c r="M27" s="4"/>
      <c r="N27" s="4"/>
      <c r="O27" s="4" t="s">
        <v>19</v>
      </c>
      <c r="P27" s="12" t="s">
        <v>19</v>
      </c>
      <c r="R27">
        <f t="shared" si="0"/>
        <v>2</v>
      </c>
      <c r="S27">
        <f t="shared" si="1"/>
        <v>32</v>
      </c>
      <c r="T27">
        <f t="shared" si="2"/>
        <v>64</v>
      </c>
    </row>
    <row r="28" spans="1:20" ht="34" x14ac:dyDescent="0.2">
      <c r="A28" s="15" t="s">
        <v>75</v>
      </c>
      <c r="B28" s="8" t="s">
        <v>76</v>
      </c>
      <c r="C28" s="9" t="s">
        <v>77</v>
      </c>
      <c r="D28" s="10">
        <v>3</v>
      </c>
      <c r="E28" s="10">
        <v>3</v>
      </c>
      <c r="F28" s="10">
        <v>0</v>
      </c>
      <c r="G28" s="10">
        <v>0</v>
      </c>
      <c r="H28" s="10">
        <v>10</v>
      </c>
      <c r="I28" s="10">
        <v>0</v>
      </c>
      <c r="J28" s="10">
        <v>0</v>
      </c>
      <c r="K28" s="10"/>
      <c r="L28" s="10"/>
      <c r="M28" s="10"/>
      <c r="N28" s="10" t="s">
        <v>19</v>
      </c>
      <c r="O28" s="10"/>
      <c r="P28" s="16"/>
      <c r="R28">
        <f t="shared" si="0"/>
        <v>1</v>
      </c>
      <c r="S28">
        <f t="shared" si="1"/>
        <v>16</v>
      </c>
      <c r="T28">
        <f t="shared" si="2"/>
        <v>16</v>
      </c>
    </row>
    <row r="29" spans="1:20" ht="34" x14ac:dyDescent="0.2">
      <c r="A29" s="11"/>
      <c r="B29" s="2" t="s">
        <v>78</v>
      </c>
      <c r="C29" s="3" t="s">
        <v>79</v>
      </c>
      <c r="D29" s="4">
        <v>3</v>
      </c>
      <c r="E29" s="4">
        <v>4</v>
      </c>
      <c r="F29" s="4">
        <v>14</v>
      </c>
      <c r="G29" s="4">
        <v>7</v>
      </c>
      <c r="H29" s="4">
        <v>6</v>
      </c>
      <c r="I29" s="4">
        <v>0</v>
      </c>
      <c r="J29" s="4">
        <v>0</v>
      </c>
      <c r="K29" s="4"/>
      <c r="L29" s="4"/>
      <c r="M29" s="4"/>
      <c r="N29" s="4" t="s">
        <v>19</v>
      </c>
      <c r="O29" s="4" t="s">
        <v>19</v>
      </c>
      <c r="P29" s="12"/>
      <c r="R29">
        <f t="shared" si="0"/>
        <v>2</v>
      </c>
      <c r="S29">
        <f t="shared" si="1"/>
        <v>34</v>
      </c>
      <c r="T29">
        <f t="shared" si="2"/>
        <v>68</v>
      </c>
    </row>
    <row r="30" spans="1:20" ht="34" x14ac:dyDescent="0.2">
      <c r="A30" s="11"/>
      <c r="B30" s="2" t="s">
        <v>80</v>
      </c>
      <c r="C30" s="3" t="s">
        <v>81</v>
      </c>
      <c r="D30" s="4">
        <v>3</v>
      </c>
      <c r="E30" s="4">
        <v>4</v>
      </c>
      <c r="F30" s="4">
        <v>12</v>
      </c>
      <c r="G30" s="4">
        <v>10</v>
      </c>
      <c r="H30" s="4">
        <v>3</v>
      </c>
      <c r="I30" s="4">
        <v>0</v>
      </c>
      <c r="J30" s="4">
        <v>0</v>
      </c>
      <c r="K30" s="4"/>
      <c r="L30" s="4"/>
      <c r="M30" s="4"/>
      <c r="N30" s="4" t="s">
        <v>19</v>
      </c>
      <c r="O30" s="4" t="s">
        <v>19</v>
      </c>
      <c r="P30" s="12"/>
      <c r="R30">
        <f>6-COUNTBLANK(K30:P30)</f>
        <v>2</v>
      </c>
      <c r="S30">
        <f t="shared" si="1"/>
        <v>32</v>
      </c>
      <c r="T30">
        <f t="shared" si="2"/>
        <v>64</v>
      </c>
    </row>
    <row r="31" spans="1:20" ht="34" x14ac:dyDescent="0.2">
      <c r="A31" s="13"/>
      <c r="B31" s="5" t="s">
        <v>82</v>
      </c>
      <c r="C31" s="6" t="s">
        <v>83</v>
      </c>
      <c r="D31" s="7">
        <v>3</v>
      </c>
      <c r="E31" s="7">
        <v>4</v>
      </c>
      <c r="F31" s="7">
        <v>7</v>
      </c>
      <c r="G31" s="7">
        <v>11</v>
      </c>
      <c r="H31" s="7">
        <v>0</v>
      </c>
      <c r="I31" s="7">
        <v>0</v>
      </c>
      <c r="J31" s="7">
        <v>0</v>
      </c>
      <c r="K31" s="7"/>
      <c r="L31" s="7"/>
      <c r="M31" s="7"/>
      <c r="N31" s="7"/>
      <c r="O31" s="7" t="s">
        <v>19</v>
      </c>
      <c r="P31" s="14"/>
      <c r="R31">
        <f t="shared" si="0"/>
        <v>1</v>
      </c>
      <c r="S31">
        <f t="shared" si="1"/>
        <v>25</v>
      </c>
      <c r="T31">
        <f t="shared" si="2"/>
        <v>25</v>
      </c>
    </row>
    <row r="32" spans="1:20" ht="34" x14ac:dyDescent="0.2">
      <c r="A32" s="11" t="s">
        <v>84</v>
      </c>
      <c r="B32" s="2" t="s">
        <v>85</v>
      </c>
      <c r="C32" s="3" t="s">
        <v>86</v>
      </c>
      <c r="D32" s="4">
        <v>4</v>
      </c>
      <c r="E32" s="4">
        <v>3</v>
      </c>
      <c r="F32" s="4">
        <v>0</v>
      </c>
      <c r="G32" s="4">
        <v>0</v>
      </c>
      <c r="H32" s="4">
        <v>0</v>
      </c>
      <c r="I32" s="4">
        <v>7</v>
      </c>
      <c r="J32" s="4">
        <v>0</v>
      </c>
      <c r="K32" s="4"/>
      <c r="L32" s="4"/>
      <c r="M32" s="4"/>
      <c r="N32" s="4" t="s">
        <v>19</v>
      </c>
      <c r="O32" s="4"/>
      <c r="P32" s="12"/>
      <c r="R32">
        <f t="shared" si="0"/>
        <v>1</v>
      </c>
      <c r="S32">
        <f t="shared" si="1"/>
        <v>14</v>
      </c>
      <c r="T32">
        <f t="shared" si="2"/>
        <v>14</v>
      </c>
    </row>
    <row r="33" spans="1:21" ht="34" x14ac:dyDescent="0.2">
      <c r="A33" s="11"/>
      <c r="B33" s="2" t="s">
        <v>87</v>
      </c>
      <c r="C33" s="3" t="s">
        <v>88</v>
      </c>
      <c r="D33" s="4">
        <v>3</v>
      </c>
      <c r="E33" s="4">
        <v>3</v>
      </c>
      <c r="F33" s="4">
        <v>7</v>
      </c>
      <c r="G33" s="4">
        <v>7</v>
      </c>
      <c r="H33" s="4">
        <v>0</v>
      </c>
      <c r="I33" s="4">
        <v>16</v>
      </c>
      <c r="J33" s="4">
        <v>0</v>
      </c>
      <c r="K33" s="4"/>
      <c r="L33" s="4"/>
      <c r="M33" s="4"/>
      <c r="N33" s="4" t="s">
        <v>19</v>
      </c>
      <c r="O33" s="4" t="s">
        <v>19</v>
      </c>
      <c r="P33" s="12"/>
      <c r="R33">
        <f t="shared" si="0"/>
        <v>2</v>
      </c>
      <c r="S33">
        <f t="shared" si="1"/>
        <v>36</v>
      </c>
      <c r="T33">
        <f t="shared" si="2"/>
        <v>72</v>
      </c>
    </row>
    <row r="34" spans="1:21" ht="34" x14ac:dyDescent="0.2">
      <c r="A34" s="11"/>
      <c r="B34" s="2" t="s">
        <v>89</v>
      </c>
      <c r="C34" s="3" t="s">
        <v>90</v>
      </c>
      <c r="D34" s="4">
        <v>3</v>
      </c>
      <c r="E34" s="4">
        <v>6</v>
      </c>
      <c r="F34" s="4">
        <v>3</v>
      </c>
      <c r="G34" s="4">
        <v>7</v>
      </c>
      <c r="H34" s="4">
        <v>0</v>
      </c>
      <c r="I34" s="4">
        <v>7</v>
      </c>
      <c r="J34" s="4">
        <v>0</v>
      </c>
      <c r="K34" s="4"/>
      <c r="L34" s="4"/>
      <c r="M34" s="4"/>
      <c r="N34" s="4"/>
      <c r="O34" s="4" t="s">
        <v>19</v>
      </c>
      <c r="P34" s="12"/>
      <c r="R34">
        <f t="shared" si="0"/>
        <v>1</v>
      </c>
      <c r="S34">
        <f t="shared" si="1"/>
        <v>26</v>
      </c>
      <c r="T34">
        <f t="shared" si="2"/>
        <v>26</v>
      </c>
    </row>
    <row r="35" spans="1:21" ht="34" x14ac:dyDescent="0.2">
      <c r="A35" s="11"/>
      <c r="B35" s="2" t="s">
        <v>91</v>
      </c>
      <c r="C35" s="3" t="s">
        <v>92</v>
      </c>
      <c r="D35" s="4">
        <v>4</v>
      </c>
      <c r="E35" s="4">
        <v>4</v>
      </c>
      <c r="F35" s="4">
        <v>6</v>
      </c>
      <c r="G35" s="4">
        <v>6</v>
      </c>
      <c r="H35" s="4">
        <v>0</v>
      </c>
      <c r="I35" s="4">
        <v>7</v>
      </c>
      <c r="J35" s="4">
        <v>0</v>
      </c>
      <c r="K35" s="4"/>
      <c r="L35" s="4"/>
      <c r="M35" s="4"/>
      <c r="N35" s="4"/>
      <c r="O35" s="4" t="s">
        <v>19</v>
      </c>
      <c r="P35" s="12" t="s">
        <v>19</v>
      </c>
      <c r="R35">
        <f t="shared" si="0"/>
        <v>2</v>
      </c>
      <c r="S35">
        <f t="shared" si="1"/>
        <v>27</v>
      </c>
      <c r="T35">
        <f t="shared" si="2"/>
        <v>54</v>
      </c>
    </row>
    <row r="36" spans="1:21" ht="34" x14ac:dyDescent="0.2">
      <c r="A36" s="11"/>
      <c r="B36" s="2" t="s">
        <v>93</v>
      </c>
      <c r="C36" s="3" t="s">
        <v>94</v>
      </c>
      <c r="D36" s="4">
        <v>4</v>
      </c>
      <c r="E36" s="4">
        <v>4</v>
      </c>
      <c r="F36" s="4">
        <v>4</v>
      </c>
      <c r="G36" s="4">
        <v>6</v>
      </c>
      <c r="H36" s="4">
        <v>0</v>
      </c>
      <c r="I36" s="4">
        <v>3</v>
      </c>
      <c r="J36" s="4">
        <v>0</v>
      </c>
      <c r="K36" s="4"/>
      <c r="L36" s="4"/>
      <c r="M36" s="4"/>
      <c r="N36" s="4"/>
      <c r="O36" s="4"/>
      <c r="P36" s="12" t="s">
        <v>19</v>
      </c>
      <c r="R36">
        <f t="shared" si="0"/>
        <v>1</v>
      </c>
      <c r="S36">
        <f t="shared" si="1"/>
        <v>21</v>
      </c>
      <c r="T36">
        <f t="shared" si="2"/>
        <v>21</v>
      </c>
    </row>
    <row r="37" spans="1:21" ht="51" x14ac:dyDescent="0.2">
      <c r="A37" s="15" t="s">
        <v>95</v>
      </c>
      <c r="B37" s="8" t="s">
        <v>96</v>
      </c>
      <c r="C37" s="9" t="s">
        <v>97</v>
      </c>
      <c r="D37" s="10">
        <v>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7</v>
      </c>
      <c r="K37" s="10"/>
      <c r="L37" s="10"/>
      <c r="M37" s="10"/>
      <c r="N37" s="10" t="s">
        <v>19</v>
      </c>
      <c r="O37" s="10"/>
      <c r="P37" s="16"/>
      <c r="R37">
        <f t="shared" si="0"/>
        <v>1</v>
      </c>
      <c r="S37">
        <f t="shared" si="1"/>
        <v>11</v>
      </c>
      <c r="T37">
        <f t="shared" si="2"/>
        <v>11</v>
      </c>
    </row>
    <row r="38" spans="1:21" ht="34" x14ac:dyDescent="0.2">
      <c r="A38" s="11"/>
      <c r="B38" s="2" t="s">
        <v>98</v>
      </c>
      <c r="C38" s="3" t="s">
        <v>99</v>
      </c>
      <c r="D38" s="4">
        <v>3</v>
      </c>
      <c r="E38" s="4">
        <v>0</v>
      </c>
      <c r="F38" s="4">
        <v>3</v>
      </c>
      <c r="G38" s="4">
        <v>0</v>
      </c>
      <c r="H38" s="4">
        <v>0</v>
      </c>
      <c r="I38" s="4">
        <v>0</v>
      </c>
      <c r="J38" s="4">
        <v>8</v>
      </c>
      <c r="K38" s="4"/>
      <c r="L38" s="4"/>
      <c r="M38" s="4"/>
      <c r="N38" s="4" t="s">
        <v>19</v>
      </c>
      <c r="O38" s="4" t="s">
        <v>19</v>
      </c>
      <c r="P38" s="12"/>
      <c r="R38">
        <f t="shared" si="0"/>
        <v>2</v>
      </c>
      <c r="S38">
        <f t="shared" si="1"/>
        <v>14</v>
      </c>
      <c r="T38">
        <f t="shared" si="2"/>
        <v>28</v>
      </c>
    </row>
    <row r="39" spans="1:21" ht="34" x14ac:dyDescent="0.2">
      <c r="A39" s="11"/>
      <c r="B39" s="2" t="s">
        <v>100</v>
      </c>
      <c r="C39" s="3" t="s">
        <v>101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11</v>
      </c>
      <c r="K39" s="4"/>
      <c r="L39" s="4"/>
      <c r="M39" s="4"/>
      <c r="N39" s="4"/>
      <c r="O39" s="4" t="s">
        <v>19</v>
      </c>
      <c r="P39" s="12" t="s">
        <v>19</v>
      </c>
      <c r="R39">
        <f t="shared" si="0"/>
        <v>2</v>
      </c>
      <c r="S39">
        <f t="shared" si="1"/>
        <v>13</v>
      </c>
      <c r="T39">
        <f t="shared" si="2"/>
        <v>26</v>
      </c>
    </row>
    <row r="40" spans="1:21" ht="34" x14ac:dyDescent="0.2">
      <c r="A40" s="11"/>
      <c r="B40" s="2" t="s">
        <v>102</v>
      </c>
      <c r="C40" s="3" t="s">
        <v>103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14</v>
      </c>
      <c r="K40" s="4"/>
      <c r="L40" s="4"/>
      <c r="M40" s="4"/>
      <c r="N40" s="4"/>
      <c r="O40" s="4" t="s">
        <v>19</v>
      </c>
      <c r="P40" s="12" t="s">
        <v>19</v>
      </c>
      <c r="R40">
        <f t="shared" si="0"/>
        <v>2</v>
      </c>
      <c r="S40">
        <f t="shared" si="1"/>
        <v>16</v>
      </c>
      <c r="T40">
        <f t="shared" si="2"/>
        <v>32</v>
      </c>
    </row>
    <row r="41" spans="1:21" ht="35" thickBot="1" x14ac:dyDescent="0.25">
      <c r="A41" s="17"/>
      <c r="B41" s="18" t="s">
        <v>104</v>
      </c>
      <c r="C41" s="19" t="s">
        <v>105</v>
      </c>
      <c r="D41" s="20">
        <v>3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6</v>
      </c>
      <c r="K41" s="20"/>
      <c r="L41" s="20"/>
      <c r="M41" s="20"/>
      <c r="N41" s="20"/>
      <c r="O41" s="20"/>
      <c r="P41" s="21" t="s">
        <v>19</v>
      </c>
      <c r="R41">
        <f t="shared" si="0"/>
        <v>1</v>
      </c>
      <c r="S41">
        <f t="shared" si="1"/>
        <v>9</v>
      </c>
      <c r="T41">
        <f t="shared" si="2"/>
        <v>9</v>
      </c>
    </row>
    <row r="42" spans="1:21" ht="17" x14ac:dyDescent="0.2">
      <c r="C42" s="29" t="s">
        <v>197</v>
      </c>
      <c r="D42">
        <f>SUMPRODUCT(D2:D41,$R$2:$R$41)</f>
        <v>265</v>
      </c>
      <c r="E42">
        <f t="shared" ref="E42:J42" si="3">SUMPRODUCT(E2:E41,$R$2:$R$41)</f>
        <v>270</v>
      </c>
      <c r="F42">
        <f t="shared" si="3"/>
        <v>500</v>
      </c>
      <c r="G42">
        <f t="shared" si="3"/>
        <v>399</v>
      </c>
      <c r="H42">
        <f t="shared" si="3"/>
        <v>81</v>
      </c>
      <c r="I42">
        <f t="shared" si="3"/>
        <v>63</v>
      </c>
      <c r="J42">
        <f t="shared" si="3"/>
        <v>82</v>
      </c>
      <c r="T42">
        <f>SUM(T2:T41)</f>
        <v>1660</v>
      </c>
      <c r="U42" t="s">
        <v>197</v>
      </c>
    </row>
    <row r="43" spans="1:21" ht="17" x14ac:dyDescent="0.2">
      <c r="C43" s="29" t="s">
        <v>199</v>
      </c>
      <c r="D43" s="30">
        <f>D42/6</f>
        <v>44.166666666666664</v>
      </c>
      <c r="E43" s="30">
        <f t="shared" ref="E43:J43" si="4">E42/6</f>
        <v>45</v>
      </c>
      <c r="F43" s="30">
        <f t="shared" si="4"/>
        <v>83.333333333333329</v>
      </c>
      <c r="G43" s="30">
        <f t="shared" si="4"/>
        <v>66.5</v>
      </c>
      <c r="H43" s="30">
        <f t="shared" si="4"/>
        <v>13.5</v>
      </c>
      <c r="I43" s="30">
        <f t="shared" si="4"/>
        <v>10.5</v>
      </c>
      <c r="J43" s="30">
        <f t="shared" si="4"/>
        <v>13.666666666666666</v>
      </c>
      <c r="T43" s="28">
        <v>18.75</v>
      </c>
      <c r="U43" t="s">
        <v>198</v>
      </c>
    </row>
    <row r="44" spans="1:21" ht="17" x14ac:dyDescent="0.2">
      <c r="C44" s="29" t="s">
        <v>200</v>
      </c>
      <c r="D44" s="30">
        <f>D43/4</f>
        <v>11.041666666666666</v>
      </c>
      <c r="E44" s="30">
        <f t="shared" ref="E44:J44" si="5">E43/4</f>
        <v>11.25</v>
      </c>
      <c r="F44" s="30">
        <f t="shared" si="5"/>
        <v>20.833333333333332</v>
      </c>
      <c r="G44" s="30">
        <f t="shared" si="5"/>
        <v>16.625</v>
      </c>
      <c r="H44" s="30">
        <f t="shared" si="5"/>
        <v>3.375</v>
      </c>
      <c r="I44" s="30">
        <f t="shared" si="5"/>
        <v>2.625</v>
      </c>
      <c r="J44" s="30">
        <f t="shared" si="5"/>
        <v>3.4166666666666665</v>
      </c>
      <c r="T44" s="31">
        <f>T42*T43</f>
        <v>31125</v>
      </c>
      <c r="U44" s="32" t="s">
        <v>201</v>
      </c>
    </row>
  </sheetData>
  <mergeCells count="9">
    <mergeCell ref="A28:A31"/>
    <mergeCell ref="A32:A36"/>
    <mergeCell ref="A37:A41"/>
    <mergeCell ref="A2:A5"/>
    <mergeCell ref="A6:A9"/>
    <mergeCell ref="A10:A13"/>
    <mergeCell ref="A14:A17"/>
    <mergeCell ref="A18:A22"/>
    <mergeCell ref="A23:A27"/>
  </mergeCells>
  <conditionalFormatting sqref="K2:P41">
    <cfRule type="cellIs" dxfId="5" priority="1" operator="equal">
      <formula>"X"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232B-4ADB-8F43-84FA-54F5A959C257}">
  <dimension ref="A1:Y42"/>
  <sheetViews>
    <sheetView tabSelected="1" zoomScale="175" workbookViewId="0">
      <pane xSplit="2" ySplit="2" topLeftCell="V35" activePane="bottomRight" state="frozen"/>
      <selection pane="topRight" activeCell="C1" sqref="C1"/>
      <selection pane="bottomLeft" activeCell="A3" sqref="A3"/>
      <selection pane="bottomRight" activeCell="X46" sqref="X46"/>
    </sheetView>
  </sheetViews>
  <sheetFormatPr baseColWidth="10" defaultRowHeight="16" x14ac:dyDescent="0.2"/>
  <cols>
    <col min="1" max="1" width="32.83203125" customWidth="1"/>
    <col min="2" max="2" width="33.1640625" customWidth="1"/>
    <col min="3" max="3" width="55.33203125" customWidth="1"/>
    <col min="24" max="24" width="13.1640625" customWidth="1"/>
  </cols>
  <sheetData>
    <row r="1" spans="1:24" ht="17" thickBot="1" x14ac:dyDescent="0.25">
      <c r="A1" s="22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106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107</v>
      </c>
      <c r="S1" s="24" t="s">
        <v>108</v>
      </c>
      <c r="T1" s="25" t="s">
        <v>109</v>
      </c>
      <c r="V1" s="26" t="s">
        <v>195</v>
      </c>
      <c r="W1" s="26" t="s">
        <v>196</v>
      </c>
      <c r="X1" s="26" t="s">
        <v>197</v>
      </c>
    </row>
    <row r="2" spans="1:24" ht="51" x14ac:dyDescent="0.2">
      <c r="A2" s="11" t="s">
        <v>110</v>
      </c>
      <c r="B2" s="2" t="s">
        <v>111</v>
      </c>
      <c r="C2" s="3" t="s">
        <v>112</v>
      </c>
      <c r="D2" s="4">
        <v>6</v>
      </c>
      <c r="E2" s="4">
        <v>11</v>
      </c>
      <c r="F2" s="4">
        <v>14</v>
      </c>
      <c r="G2" s="4">
        <v>14</v>
      </c>
      <c r="H2" s="4">
        <v>0</v>
      </c>
      <c r="I2" s="4">
        <v>0</v>
      </c>
      <c r="J2" s="4">
        <v>6</v>
      </c>
      <c r="K2" s="4">
        <v>0</v>
      </c>
      <c r="L2" s="4" t="s">
        <v>19</v>
      </c>
      <c r="M2" s="4" t="s">
        <v>19</v>
      </c>
      <c r="N2" s="4"/>
      <c r="O2" s="4"/>
      <c r="P2" s="4"/>
      <c r="Q2" s="4"/>
      <c r="R2" s="4"/>
      <c r="S2" s="4"/>
      <c r="T2" s="12"/>
      <c r="V2">
        <f>9-COUNTBLANK(L2:T2)</f>
        <v>2</v>
      </c>
      <c r="W2">
        <f>SUM(D2:K2)</f>
        <v>51</v>
      </c>
      <c r="X2">
        <f>V2*W2</f>
        <v>102</v>
      </c>
    </row>
    <row r="3" spans="1:24" ht="51" x14ac:dyDescent="0.2">
      <c r="A3" s="11"/>
      <c r="B3" s="2" t="s">
        <v>113</v>
      </c>
      <c r="C3" s="3" t="s">
        <v>114</v>
      </c>
      <c r="D3" s="4">
        <v>4</v>
      </c>
      <c r="E3" s="4">
        <v>10</v>
      </c>
      <c r="F3" s="4">
        <v>3</v>
      </c>
      <c r="G3" s="4">
        <v>12</v>
      </c>
      <c r="H3" s="4">
        <v>0</v>
      </c>
      <c r="I3" s="4">
        <v>0</v>
      </c>
      <c r="J3" s="4">
        <v>3</v>
      </c>
      <c r="K3" s="4">
        <v>0</v>
      </c>
      <c r="L3" s="4" t="s">
        <v>19</v>
      </c>
      <c r="M3" s="4" t="s">
        <v>19</v>
      </c>
      <c r="N3" s="4"/>
      <c r="O3" s="4"/>
      <c r="P3" s="4"/>
      <c r="Q3" s="4"/>
      <c r="R3" s="4"/>
      <c r="S3" s="4"/>
      <c r="T3" s="12"/>
      <c r="V3">
        <f t="shared" ref="V3:V39" si="0">9-COUNTBLANK(L3:T3)</f>
        <v>2</v>
      </c>
      <c r="W3">
        <f t="shared" ref="W3:W39" si="1">SUM(D3:K3)</f>
        <v>32</v>
      </c>
      <c r="X3">
        <f t="shared" ref="X3:X39" si="2">V3*W3</f>
        <v>64</v>
      </c>
    </row>
    <row r="4" spans="1:24" ht="34" x14ac:dyDescent="0.2">
      <c r="A4" s="11"/>
      <c r="B4" s="2" t="s">
        <v>115</v>
      </c>
      <c r="C4" s="3" t="s">
        <v>116</v>
      </c>
      <c r="D4" s="4">
        <v>6</v>
      </c>
      <c r="E4" s="4">
        <v>7</v>
      </c>
      <c r="F4" s="4">
        <v>3</v>
      </c>
      <c r="G4" s="4">
        <v>3</v>
      </c>
      <c r="H4" s="4">
        <v>0</v>
      </c>
      <c r="I4" s="4">
        <v>0</v>
      </c>
      <c r="J4" s="4">
        <v>3</v>
      </c>
      <c r="K4" s="4">
        <v>0</v>
      </c>
      <c r="L4" s="4" t="s">
        <v>19</v>
      </c>
      <c r="M4" s="4" t="s">
        <v>19</v>
      </c>
      <c r="N4" s="4" t="s">
        <v>19</v>
      </c>
      <c r="O4" s="4"/>
      <c r="P4" s="4"/>
      <c r="Q4" s="4"/>
      <c r="R4" s="4"/>
      <c r="S4" s="4"/>
      <c r="T4" s="12"/>
      <c r="V4">
        <f t="shared" si="0"/>
        <v>3</v>
      </c>
      <c r="W4">
        <f t="shared" si="1"/>
        <v>22</v>
      </c>
      <c r="X4">
        <f t="shared" si="2"/>
        <v>66</v>
      </c>
    </row>
    <row r="5" spans="1:24" ht="34" x14ac:dyDescent="0.2">
      <c r="A5" s="11"/>
      <c r="B5" s="2" t="s">
        <v>117</v>
      </c>
      <c r="C5" s="3" t="s">
        <v>118</v>
      </c>
      <c r="D5" s="4">
        <v>4</v>
      </c>
      <c r="E5" s="4">
        <v>7</v>
      </c>
      <c r="F5" s="4">
        <v>0</v>
      </c>
      <c r="G5" s="4">
        <v>7</v>
      </c>
      <c r="H5" s="4">
        <v>0</v>
      </c>
      <c r="I5" s="4">
        <v>0</v>
      </c>
      <c r="J5" s="4">
        <v>4</v>
      </c>
      <c r="K5" s="4">
        <v>0</v>
      </c>
      <c r="L5" s="4"/>
      <c r="M5" s="4" t="s">
        <v>19</v>
      </c>
      <c r="N5" s="4" t="s">
        <v>19</v>
      </c>
      <c r="O5" s="4"/>
      <c r="P5" s="4"/>
      <c r="Q5" s="4"/>
      <c r="R5" s="4"/>
      <c r="S5" s="4"/>
      <c r="T5" s="12"/>
      <c r="V5">
        <f t="shared" si="0"/>
        <v>2</v>
      </c>
      <c r="W5">
        <f t="shared" si="1"/>
        <v>22</v>
      </c>
      <c r="X5">
        <f t="shared" si="2"/>
        <v>44</v>
      </c>
    </row>
    <row r="6" spans="1:24" ht="34" x14ac:dyDescent="0.2">
      <c r="A6" s="15" t="s">
        <v>119</v>
      </c>
      <c r="B6" s="8" t="s">
        <v>120</v>
      </c>
      <c r="C6" s="9" t="s">
        <v>121</v>
      </c>
      <c r="D6" s="10">
        <v>4</v>
      </c>
      <c r="E6" s="10">
        <v>7</v>
      </c>
      <c r="F6" s="10">
        <v>12</v>
      </c>
      <c r="G6" s="10">
        <v>11</v>
      </c>
      <c r="H6" s="10">
        <v>0</v>
      </c>
      <c r="I6" s="10">
        <v>0</v>
      </c>
      <c r="J6" s="10">
        <v>3</v>
      </c>
      <c r="K6" s="10">
        <v>0</v>
      </c>
      <c r="L6" s="10"/>
      <c r="M6" s="10" t="s">
        <v>19</v>
      </c>
      <c r="N6" s="10" t="s">
        <v>19</v>
      </c>
      <c r="O6" s="10" t="s">
        <v>19</v>
      </c>
      <c r="P6" s="10"/>
      <c r="Q6" s="10"/>
      <c r="R6" s="10"/>
      <c r="S6" s="10"/>
      <c r="T6" s="16"/>
      <c r="V6">
        <f t="shared" si="0"/>
        <v>3</v>
      </c>
      <c r="W6">
        <f t="shared" si="1"/>
        <v>37</v>
      </c>
      <c r="X6">
        <f t="shared" si="2"/>
        <v>111</v>
      </c>
    </row>
    <row r="7" spans="1:24" ht="34" x14ac:dyDescent="0.2">
      <c r="A7" s="11"/>
      <c r="B7" s="2" t="s">
        <v>122</v>
      </c>
      <c r="C7" s="3" t="s">
        <v>123</v>
      </c>
      <c r="D7" s="4">
        <v>4</v>
      </c>
      <c r="E7" s="4">
        <v>7</v>
      </c>
      <c r="F7" s="4">
        <v>14</v>
      </c>
      <c r="G7" s="4">
        <v>8</v>
      </c>
      <c r="H7" s="4">
        <v>0</v>
      </c>
      <c r="I7" s="4">
        <v>0</v>
      </c>
      <c r="J7" s="4">
        <v>3</v>
      </c>
      <c r="K7" s="4">
        <v>0</v>
      </c>
      <c r="L7" s="4"/>
      <c r="M7" s="4" t="s">
        <v>19</v>
      </c>
      <c r="N7" s="4" t="s">
        <v>19</v>
      </c>
      <c r="O7" s="4" t="s">
        <v>19</v>
      </c>
      <c r="P7" s="4"/>
      <c r="Q7" s="4"/>
      <c r="R7" s="4"/>
      <c r="S7" s="4"/>
      <c r="T7" s="12"/>
      <c r="V7">
        <f t="shared" si="0"/>
        <v>3</v>
      </c>
      <c r="W7">
        <f t="shared" si="1"/>
        <v>36</v>
      </c>
      <c r="X7">
        <f t="shared" si="2"/>
        <v>108</v>
      </c>
    </row>
    <row r="8" spans="1:24" ht="34" x14ac:dyDescent="0.2">
      <c r="A8" s="11"/>
      <c r="B8" s="2" t="s">
        <v>124</v>
      </c>
      <c r="C8" s="3" t="s">
        <v>125</v>
      </c>
      <c r="D8" s="4">
        <v>4</v>
      </c>
      <c r="E8" s="4">
        <v>7</v>
      </c>
      <c r="F8" s="4">
        <v>11</v>
      </c>
      <c r="G8" s="4">
        <v>12</v>
      </c>
      <c r="H8" s="4">
        <v>0</v>
      </c>
      <c r="I8" s="4">
        <v>0</v>
      </c>
      <c r="J8" s="4">
        <v>3</v>
      </c>
      <c r="K8" s="4">
        <v>0</v>
      </c>
      <c r="L8" s="4"/>
      <c r="M8" s="4"/>
      <c r="N8" s="4" t="s">
        <v>19</v>
      </c>
      <c r="O8" s="4" t="s">
        <v>19</v>
      </c>
      <c r="P8" s="4" t="s">
        <v>19</v>
      </c>
      <c r="Q8" s="4"/>
      <c r="R8" s="4"/>
      <c r="S8" s="4"/>
      <c r="T8" s="12"/>
      <c r="V8">
        <f t="shared" si="0"/>
        <v>3</v>
      </c>
      <c r="W8">
        <f t="shared" si="1"/>
        <v>37</v>
      </c>
      <c r="X8">
        <f t="shared" si="2"/>
        <v>111</v>
      </c>
    </row>
    <row r="9" spans="1:24" ht="34" x14ac:dyDescent="0.2">
      <c r="A9" s="13"/>
      <c r="B9" s="5" t="s">
        <v>126</v>
      </c>
      <c r="C9" s="6" t="s">
        <v>127</v>
      </c>
      <c r="D9" s="7">
        <v>4</v>
      </c>
      <c r="E9" s="7">
        <v>8</v>
      </c>
      <c r="F9" s="7">
        <v>7</v>
      </c>
      <c r="G9" s="7">
        <v>11</v>
      </c>
      <c r="H9" s="7">
        <v>0</v>
      </c>
      <c r="I9" s="7">
        <v>0</v>
      </c>
      <c r="J9" s="7">
        <v>4</v>
      </c>
      <c r="K9" s="7">
        <v>0</v>
      </c>
      <c r="L9" s="7"/>
      <c r="M9" s="7"/>
      <c r="N9" s="7" t="s">
        <v>19</v>
      </c>
      <c r="O9" s="7" t="s">
        <v>19</v>
      </c>
      <c r="P9" s="7" t="s">
        <v>19</v>
      </c>
      <c r="Q9" s="7"/>
      <c r="R9" s="7"/>
      <c r="S9" s="7"/>
      <c r="T9" s="14"/>
      <c r="V9">
        <f t="shared" si="0"/>
        <v>3</v>
      </c>
      <c r="W9">
        <f t="shared" si="1"/>
        <v>34</v>
      </c>
      <c r="X9">
        <f t="shared" si="2"/>
        <v>102</v>
      </c>
    </row>
    <row r="10" spans="1:24" ht="51" x14ac:dyDescent="0.2">
      <c r="A10" s="11" t="s">
        <v>128</v>
      </c>
      <c r="B10" s="2" t="s">
        <v>129</v>
      </c>
      <c r="C10" s="3" t="s">
        <v>130</v>
      </c>
      <c r="D10" s="4">
        <v>4</v>
      </c>
      <c r="E10" s="4">
        <v>7</v>
      </c>
      <c r="F10" s="4">
        <v>11</v>
      </c>
      <c r="G10" s="4">
        <v>12</v>
      </c>
      <c r="H10" s="4">
        <v>0</v>
      </c>
      <c r="I10" s="4">
        <v>0</v>
      </c>
      <c r="J10" s="4">
        <v>3</v>
      </c>
      <c r="K10" s="4">
        <v>0</v>
      </c>
      <c r="L10" s="4"/>
      <c r="M10" s="4" t="s">
        <v>19</v>
      </c>
      <c r="N10" s="4" t="s">
        <v>19</v>
      </c>
      <c r="O10" s="4" t="s">
        <v>19</v>
      </c>
      <c r="P10" s="4"/>
      <c r="Q10" s="4"/>
      <c r="R10" s="4"/>
      <c r="S10" s="4"/>
      <c r="T10" s="12"/>
      <c r="V10">
        <f t="shared" si="0"/>
        <v>3</v>
      </c>
      <c r="W10">
        <f t="shared" si="1"/>
        <v>37</v>
      </c>
      <c r="X10">
        <f t="shared" si="2"/>
        <v>111</v>
      </c>
    </row>
    <row r="11" spans="1:24" ht="34" x14ac:dyDescent="0.2">
      <c r="A11" s="11"/>
      <c r="B11" s="2" t="s">
        <v>131</v>
      </c>
      <c r="C11" s="3" t="s">
        <v>132</v>
      </c>
      <c r="D11" s="4">
        <v>4</v>
      </c>
      <c r="E11" s="4">
        <v>7</v>
      </c>
      <c r="F11" s="4">
        <v>12</v>
      </c>
      <c r="G11" s="4">
        <v>12</v>
      </c>
      <c r="H11" s="4">
        <v>0</v>
      </c>
      <c r="I11" s="4">
        <v>0</v>
      </c>
      <c r="J11" s="4">
        <v>3</v>
      </c>
      <c r="K11" s="4">
        <v>0</v>
      </c>
      <c r="L11" s="4"/>
      <c r="M11" s="4"/>
      <c r="N11" s="4" t="s">
        <v>19</v>
      </c>
      <c r="O11" s="4" t="s">
        <v>19</v>
      </c>
      <c r="P11" s="4" t="s">
        <v>19</v>
      </c>
      <c r="Q11" s="4"/>
      <c r="R11" s="4"/>
      <c r="S11" s="4"/>
      <c r="T11" s="12"/>
      <c r="V11">
        <f t="shared" si="0"/>
        <v>3</v>
      </c>
      <c r="W11">
        <f t="shared" si="1"/>
        <v>38</v>
      </c>
      <c r="X11">
        <f t="shared" si="2"/>
        <v>114</v>
      </c>
    </row>
    <row r="12" spans="1:24" ht="34" x14ac:dyDescent="0.2">
      <c r="A12" s="11"/>
      <c r="B12" s="2" t="s">
        <v>133</v>
      </c>
      <c r="C12" s="3" t="s">
        <v>134</v>
      </c>
      <c r="D12" s="4">
        <v>4</v>
      </c>
      <c r="E12" s="4">
        <v>6</v>
      </c>
      <c r="F12" s="4">
        <v>10</v>
      </c>
      <c r="G12" s="4">
        <v>11</v>
      </c>
      <c r="H12" s="4">
        <v>0</v>
      </c>
      <c r="I12" s="4">
        <v>0</v>
      </c>
      <c r="J12" s="4">
        <v>3</v>
      </c>
      <c r="K12" s="4">
        <v>0</v>
      </c>
      <c r="L12" s="4"/>
      <c r="M12" s="4"/>
      <c r="N12" s="4" t="s">
        <v>19</v>
      </c>
      <c r="O12" s="4" t="s">
        <v>19</v>
      </c>
      <c r="P12" s="4" t="s">
        <v>19</v>
      </c>
      <c r="Q12" s="4"/>
      <c r="R12" s="4"/>
      <c r="S12" s="4"/>
      <c r="T12" s="12"/>
      <c r="V12">
        <f t="shared" si="0"/>
        <v>3</v>
      </c>
      <c r="W12">
        <f t="shared" si="1"/>
        <v>34</v>
      </c>
      <c r="X12">
        <f t="shared" si="2"/>
        <v>102</v>
      </c>
    </row>
    <row r="13" spans="1:24" ht="34" x14ac:dyDescent="0.2">
      <c r="A13" s="11"/>
      <c r="B13" s="2" t="s">
        <v>135</v>
      </c>
      <c r="C13" s="3" t="s">
        <v>136</v>
      </c>
      <c r="D13" s="4">
        <v>4</v>
      </c>
      <c r="E13" s="4">
        <v>8</v>
      </c>
      <c r="F13" s="4">
        <v>7</v>
      </c>
      <c r="G13" s="4">
        <v>12</v>
      </c>
      <c r="H13" s="4">
        <v>0</v>
      </c>
      <c r="I13" s="4">
        <v>0</v>
      </c>
      <c r="J13" s="4">
        <v>4</v>
      </c>
      <c r="K13" s="4">
        <v>0</v>
      </c>
      <c r="L13" s="4"/>
      <c r="M13" s="4"/>
      <c r="N13" s="4"/>
      <c r="O13" s="4" t="s">
        <v>19</v>
      </c>
      <c r="P13" s="4" t="s">
        <v>19</v>
      </c>
      <c r="Q13" s="4" t="s">
        <v>19</v>
      </c>
      <c r="R13" s="4"/>
      <c r="S13" s="4"/>
      <c r="T13" s="12"/>
      <c r="V13">
        <f t="shared" si="0"/>
        <v>3</v>
      </c>
      <c r="W13">
        <f t="shared" si="1"/>
        <v>35</v>
      </c>
      <c r="X13">
        <f t="shared" si="2"/>
        <v>105</v>
      </c>
    </row>
    <row r="14" spans="1:24" ht="51" x14ac:dyDescent="0.2">
      <c r="A14" s="15" t="s">
        <v>137</v>
      </c>
      <c r="B14" s="8" t="s">
        <v>138</v>
      </c>
      <c r="C14" s="9" t="s">
        <v>139</v>
      </c>
      <c r="D14" s="10">
        <v>4</v>
      </c>
      <c r="E14" s="10">
        <v>10</v>
      </c>
      <c r="F14" s="10">
        <v>6</v>
      </c>
      <c r="G14" s="10">
        <v>14</v>
      </c>
      <c r="H14" s="10">
        <v>0</v>
      </c>
      <c r="I14" s="10">
        <v>0</v>
      </c>
      <c r="J14" s="10">
        <v>4</v>
      </c>
      <c r="K14" s="10">
        <v>0</v>
      </c>
      <c r="L14" s="10"/>
      <c r="M14" s="10" t="s">
        <v>19</v>
      </c>
      <c r="N14" s="10" t="s">
        <v>19</v>
      </c>
      <c r="O14" s="10" t="s">
        <v>19</v>
      </c>
      <c r="P14" s="10"/>
      <c r="Q14" s="10"/>
      <c r="R14" s="10"/>
      <c r="S14" s="10"/>
      <c r="T14" s="16"/>
      <c r="V14">
        <f t="shared" si="0"/>
        <v>3</v>
      </c>
      <c r="W14">
        <f t="shared" si="1"/>
        <v>38</v>
      </c>
      <c r="X14">
        <f t="shared" si="2"/>
        <v>114</v>
      </c>
    </row>
    <row r="15" spans="1:24" ht="51" x14ac:dyDescent="0.2">
      <c r="A15" s="11"/>
      <c r="B15" s="2" t="s">
        <v>140</v>
      </c>
      <c r="C15" s="3" t="s">
        <v>141</v>
      </c>
      <c r="D15" s="4">
        <v>4</v>
      </c>
      <c r="E15" s="4">
        <v>10</v>
      </c>
      <c r="F15" s="4">
        <v>4</v>
      </c>
      <c r="G15" s="4">
        <v>14</v>
      </c>
      <c r="H15" s="4">
        <v>0</v>
      </c>
      <c r="I15" s="4">
        <v>0</v>
      </c>
      <c r="J15" s="4">
        <v>4</v>
      </c>
      <c r="K15" s="4">
        <v>0</v>
      </c>
      <c r="L15" s="4"/>
      <c r="M15" s="4"/>
      <c r="N15" s="4" t="s">
        <v>19</v>
      </c>
      <c r="O15" s="4" t="s">
        <v>19</v>
      </c>
      <c r="P15" s="4" t="s">
        <v>19</v>
      </c>
      <c r="Q15" s="4"/>
      <c r="R15" s="4"/>
      <c r="S15" s="4"/>
      <c r="T15" s="12"/>
      <c r="V15">
        <f t="shared" si="0"/>
        <v>3</v>
      </c>
      <c r="W15">
        <f t="shared" si="1"/>
        <v>36</v>
      </c>
      <c r="X15">
        <f t="shared" si="2"/>
        <v>108</v>
      </c>
    </row>
    <row r="16" spans="1:24" ht="51" x14ac:dyDescent="0.2">
      <c r="A16" s="11"/>
      <c r="B16" s="2" t="s">
        <v>142</v>
      </c>
      <c r="C16" s="3" t="s">
        <v>143</v>
      </c>
      <c r="D16" s="4">
        <v>4</v>
      </c>
      <c r="E16" s="4">
        <v>8</v>
      </c>
      <c r="F16" s="4">
        <v>10</v>
      </c>
      <c r="G16" s="4">
        <v>12</v>
      </c>
      <c r="H16" s="4">
        <v>0</v>
      </c>
      <c r="I16" s="4">
        <v>0</v>
      </c>
      <c r="J16" s="4">
        <v>6</v>
      </c>
      <c r="K16" s="4">
        <v>0</v>
      </c>
      <c r="L16" s="4"/>
      <c r="M16" s="4"/>
      <c r="N16" s="4" t="s">
        <v>19</v>
      </c>
      <c r="O16" s="4" t="s">
        <v>19</v>
      </c>
      <c r="P16" s="4" t="s">
        <v>19</v>
      </c>
      <c r="Q16" s="4"/>
      <c r="R16" s="4"/>
      <c r="S16" s="4"/>
      <c r="T16" s="12"/>
      <c r="V16">
        <f t="shared" si="0"/>
        <v>3</v>
      </c>
      <c r="W16">
        <f t="shared" si="1"/>
        <v>40</v>
      </c>
      <c r="X16">
        <f t="shared" si="2"/>
        <v>120</v>
      </c>
    </row>
    <row r="17" spans="1:24" ht="34" x14ac:dyDescent="0.2">
      <c r="A17" s="13"/>
      <c r="B17" s="5" t="s">
        <v>144</v>
      </c>
      <c r="C17" s="6" t="s">
        <v>145</v>
      </c>
      <c r="D17" s="7">
        <v>4</v>
      </c>
      <c r="E17" s="7">
        <v>8</v>
      </c>
      <c r="F17" s="7">
        <v>3</v>
      </c>
      <c r="G17" s="7">
        <v>6</v>
      </c>
      <c r="H17" s="7">
        <v>0</v>
      </c>
      <c r="I17" s="7">
        <v>4</v>
      </c>
      <c r="J17" s="7">
        <v>3</v>
      </c>
      <c r="K17" s="7">
        <v>0</v>
      </c>
      <c r="L17" s="7"/>
      <c r="M17" s="7"/>
      <c r="N17" s="7"/>
      <c r="O17" s="7" t="s">
        <v>19</v>
      </c>
      <c r="P17" s="7" t="s">
        <v>19</v>
      </c>
      <c r="Q17" s="7"/>
      <c r="R17" s="7"/>
      <c r="S17" s="7"/>
      <c r="T17" s="14"/>
      <c r="V17">
        <f t="shared" si="0"/>
        <v>2</v>
      </c>
      <c r="W17">
        <f t="shared" si="1"/>
        <v>28</v>
      </c>
      <c r="X17">
        <f t="shared" si="2"/>
        <v>56</v>
      </c>
    </row>
    <row r="18" spans="1:24" ht="34" x14ac:dyDescent="0.2">
      <c r="A18" s="11" t="s">
        <v>146</v>
      </c>
      <c r="B18" s="2" t="s">
        <v>147</v>
      </c>
      <c r="C18" s="3" t="s">
        <v>148</v>
      </c>
      <c r="D18" s="4">
        <v>6</v>
      </c>
      <c r="E18" s="4">
        <v>6</v>
      </c>
      <c r="F18" s="4">
        <v>0</v>
      </c>
      <c r="G18" s="4">
        <v>0</v>
      </c>
      <c r="H18" s="4">
        <v>0</v>
      </c>
      <c r="I18" s="4">
        <v>11</v>
      </c>
      <c r="J18" s="4">
        <v>0</v>
      </c>
      <c r="K18" s="4">
        <v>0</v>
      </c>
      <c r="L18" s="4"/>
      <c r="M18" s="4"/>
      <c r="N18" s="4"/>
      <c r="O18" s="4" t="s">
        <v>19</v>
      </c>
      <c r="P18" s="4" t="s">
        <v>19</v>
      </c>
      <c r="Q18" s="4"/>
      <c r="R18" s="4"/>
      <c r="S18" s="4"/>
      <c r="T18" s="12"/>
      <c r="V18">
        <f t="shared" si="0"/>
        <v>2</v>
      </c>
      <c r="W18">
        <f t="shared" si="1"/>
        <v>23</v>
      </c>
      <c r="X18">
        <f t="shared" si="2"/>
        <v>46</v>
      </c>
    </row>
    <row r="19" spans="1:24" ht="34" x14ac:dyDescent="0.2">
      <c r="A19" s="11"/>
      <c r="B19" s="2" t="s">
        <v>149</v>
      </c>
      <c r="C19" s="3" t="s">
        <v>150</v>
      </c>
      <c r="D19" s="4">
        <v>6</v>
      </c>
      <c r="E19" s="4">
        <v>6</v>
      </c>
      <c r="F19" s="4">
        <v>3</v>
      </c>
      <c r="G19" s="4">
        <v>4</v>
      </c>
      <c r="H19" s="4">
        <v>0</v>
      </c>
      <c r="I19" s="4">
        <v>16</v>
      </c>
      <c r="J19" s="4">
        <v>3</v>
      </c>
      <c r="K19" s="4">
        <v>0</v>
      </c>
      <c r="L19" s="4"/>
      <c r="M19" s="4"/>
      <c r="N19" s="4"/>
      <c r="O19" s="4" t="s">
        <v>19</v>
      </c>
      <c r="P19" s="4" t="s">
        <v>19</v>
      </c>
      <c r="Q19" s="4" t="s">
        <v>19</v>
      </c>
      <c r="R19" s="4"/>
      <c r="S19" s="4"/>
      <c r="T19" s="12"/>
      <c r="V19">
        <f t="shared" si="0"/>
        <v>3</v>
      </c>
      <c r="W19">
        <f t="shared" si="1"/>
        <v>38</v>
      </c>
      <c r="X19">
        <f t="shared" si="2"/>
        <v>114</v>
      </c>
    </row>
    <row r="20" spans="1:24" ht="51" x14ac:dyDescent="0.2">
      <c r="A20" s="11"/>
      <c r="B20" s="2" t="s">
        <v>151</v>
      </c>
      <c r="C20" s="3" t="s">
        <v>152</v>
      </c>
      <c r="D20" s="4">
        <v>6</v>
      </c>
      <c r="E20" s="4">
        <v>6</v>
      </c>
      <c r="F20" s="4">
        <v>4</v>
      </c>
      <c r="G20" s="4">
        <v>7</v>
      </c>
      <c r="H20" s="4">
        <v>0</v>
      </c>
      <c r="I20" s="4">
        <v>14</v>
      </c>
      <c r="J20" s="4">
        <v>3</v>
      </c>
      <c r="K20" s="4">
        <v>0</v>
      </c>
      <c r="L20" s="4"/>
      <c r="M20" s="4"/>
      <c r="N20" s="4"/>
      <c r="O20" s="4"/>
      <c r="P20" s="4" t="s">
        <v>19</v>
      </c>
      <c r="Q20" s="4" t="s">
        <v>19</v>
      </c>
      <c r="R20" s="4"/>
      <c r="S20" s="4"/>
      <c r="T20" s="12"/>
      <c r="V20">
        <f t="shared" si="0"/>
        <v>2</v>
      </c>
      <c r="W20">
        <f t="shared" si="1"/>
        <v>40</v>
      </c>
      <c r="X20">
        <f t="shared" si="2"/>
        <v>80</v>
      </c>
    </row>
    <row r="21" spans="1:24" ht="34" x14ac:dyDescent="0.2">
      <c r="A21" s="11"/>
      <c r="B21" s="2" t="s">
        <v>153</v>
      </c>
      <c r="C21" s="3" t="s">
        <v>154</v>
      </c>
      <c r="D21" s="4">
        <v>4</v>
      </c>
      <c r="E21" s="4">
        <v>7</v>
      </c>
      <c r="F21" s="4">
        <v>12</v>
      </c>
      <c r="G21" s="4">
        <v>8</v>
      </c>
      <c r="H21" s="4">
        <v>0</v>
      </c>
      <c r="I21" s="4">
        <v>7</v>
      </c>
      <c r="J21" s="4">
        <v>4</v>
      </c>
      <c r="K21" s="4">
        <v>0</v>
      </c>
      <c r="L21" s="4"/>
      <c r="M21" s="4"/>
      <c r="N21" s="4"/>
      <c r="O21" s="4"/>
      <c r="P21" s="4" t="s">
        <v>19</v>
      </c>
      <c r="Q21" s="4" t="s">
        <v>19</v>
      </c>
      <c r="R21" s="4"/>
      <c r="S21" s="4"/>
      <c r="T21" s="12"/>
      <c r="V21">
        <f t="shared" si="0"/>
        <v>2</v>
      </c>
      <c r="W21">
        <f t="shared" si="1"/>
        <v>42</v>
      </c>
      <c r="X21">
        <f t="shared" si="2"/>
        <v>84</v>
      </c>
    </row>
    <row r="22" spans="1:24" ht="34" x14ac:dyDescent="0.2">
      <c r="A22" s="15" t="s">
        <v>155</v>
      </c>
      <c r="B22" s="8" t="s">
        <v>156</v>
      </c>
      <c r="C22" s="9" t="s">
        <v>157</v>
      </c>
      <c r="D22" s="10">
        <v>6</v>
      </c>
      <c r="E22" s="10">
        <v>6</v>
      </c>
      <c r="F22" s="10">
        <v>0</v>
      </c>
      <c r="G22" s="10">
        <v>0</v>
      </c>
      <c r="H22" s="10">
        <v>16</v>
      </c>
      <c r="I22" s="10">
        <v>0</v>
      </c>
      <c r="J22" s="10">
        <v>0</v>
      </c>
      <c r="K22" s="10">
        <v>0</v>
      </c>
      <c r="L22" s="10"/>
      <c r="M22" s="10"/>
      <c r="N22" s="10" t="s">
        <v>19</v>
      </c>
      <c r="O22" s="10" t="s">
        <v>19</v>
      </c>
      <c r="P22" s="10"/>
      <c r="Q22" s="10"/>
      <c r="R22" s="10"/>
      <c r="S22" s="10"/>
      <c r="T22" s="16"/>
      <c r="V22">
        <f t="shared" si="0"/>
        <v>2</v>
      </c>
      <c r="W22">
        <f t="shared" si="1"/>
        <v>28</v>
      </c>
      <c r="X22">
        <f t="shared" si="2"/>
        <v>56</v>
      </c>
    </row>
    <row r="23" spans="1:24" ht="51" x14ac:dyDescent="0.2">
      <c r="A23" s="11"/>
      <c r="B23" s="2" t="s">
        <v>158</v>
      </c>
      <c r="C23" s="3" t="s">
        <v>159</v>
      </c>
      <c r="D23" s="4">
        <v>6</v>
      </c>
      <c r="E23" s="4">
        <v>10</v>
      </c>
      <c r="F23" s="4">
        <v>0</v>
      </c>
      <c r="G23" s="4">
        <v>4</v>
      </c>
      <c r="H23" s="4">
        <v>18</v>
      </c>
      <c r="I23" s="4">
        <v>0</v>
      </c>
      <c r="J23" s="4">
        <v>0</v>
      </c>
      <c r="K23" s="4">
        <v>0</v>
      </c>
      <c r="L23" s="4"/>
      <c r="M23" s="4"/>
      <c r="N23" s="4" t="s">
        <v>19</v>
      </c>
      <c r="O23" s="4" t="s">
        <v>19</v>
      </c>
      <c r="P23" s="4" t="s">
        <v>19</v>
      </c>
      <c r="Q23" s="4"/>
      <c r="R23" s="4"/>
      <c r="S23" s="4"/>
      <c r="T23" s="12"/>
      <c r="V23">
        <f t="shared" si="0"/>
        <v>3</v>
      </c>
      <c r="W23">
        <f t="shared" si="1"/>
        <v>38</v>
      </c>
      <c r="X23">
        <f t="shared" si="2"/>
        <v>114</v>
      </c>
    </row>
    <row r="24" spans="1:24" ht="34" x14ac:dyDescent="0.2">
      <c r="A24" s="11"/>
      <c r="B24" s="2" t="s">
        <v>160</v>
      </c>
      <c r="C24" s="3" t="s">
        <v>161</v>
      </c>
      <c r="D24" s="4">
        <v>4</v>
      </c>
      <c r="E24" s="4">
        <v>7</v>
      </c>
      <c r="F24" s="4">
        <v>0</v>
      </c>
      <c r="G24" s="4">
        <v>6</v>
      </c>
      <c r="H24" s="4">
        <v>20</v>
      </c>
      <c r="I24" s="4">
        <v>0</v>
      </c>
      <c r="J24" s="4">
        <v>6</v>
      </c>
      <c r="K24" s="4">
        <v>0</v>
      </c>
      <c r="L24" s="4"/>
      <c r="M24" s="4"/>
      <c r="N24" s="4"/>
      <c r="O24" s="4" t="s">
        <v>19</v>
      </c>
      <c r="P24" s="4" t="s">
        <v>19</v>
      </c>
      <c r="Q24" s="4" t="s">
        <v>19</v>
      </c>
      <c r="R24" s="4"/>
      <c r="S24" s="4"/>
      <c r="T24" s="12"/>
      <c r="V24">
        <f t="shared" si="0"/>
        <v>3</v>
      </c>
      <c r="W24">
        <f t="shared" si="1"/>
        <v>43</v>
      </c>
      <c r="X24">
        <f t="shared" si="2"/>
        <v>129</v>
      </c>
    </row>
    <row r="25" spans="1:24" ht="34" x14ac:dyDescent="0.2">
      <c r="A25" s="11"/>
      <c r="B25" s="2" t="s">
        <v>162</v>
      </c>
      <c r="C25" s="3" t="s">
        <v>163</v>
      </c>
      <c r="D25" s="4">
        <v>4</v>
      </c>
      <c r="E25" s="4">
        <v>7</v>
      </c>
      <c r="F25" s="4">
        <v>0</v>
      </c>
      <c r="G25" s="4">
        <v>6</v>
      </c>
      <c r="H25" s="4">
        <v>20</v>
      </c>
      <c r="I25" s="4">
        <v>0</v>
      </c>
      <c r="J25" s="4">
        <v>6</v>
      </c>
      <c r="K25" s="4">
        <v>0</v>
      </c>
      <c r="L25" s="4"/>
      <c r="M25" s="4"/>
      <c r="N25" s="4"/>
      <c r="O25" s="4"/>
      <c r="P25" s="4" t="s">
        <v>19</v>
      </c>
      <c r="Q25" s="4" t="s">
        <v>19</v>
      </c>
      <c r="R25" s="4" t="s">
        <v>19</v>
      </c>
      <c r="S25" s="4"/>
      <c r="T25" s="12"/>
      <c r="V25">
        <f t="shared" si="0"/>
        <v>3</v>
      </c>
      <c r="W25">
        <f t="shared" si="1"/>
        <v>43</v>
      </c>
      <c r="X25">
        <f t="shared" si="2"/>
        <v>129</v>
      </c>
    </row>
    <row r="26" spans="1:24" ht="51" x14ac:dyDescent="0.2">
      <c r="A26" s="13"/>
      <c r="B26" s="5" t="s">
        <v>164</v>
      </c>
      <c r="C26" s="6" t="s">
        <v>165</v>
      </c>
      <c r="D26" s="7">
        <v>4</v>
      </c>
      <c r="E26" s="7">
        <v>6</v>
      </c>
      <c r="F26" s="7">
        <v>0</v>
      </c>
      <c r="G26" s="7">
        <v>3</v>
      </c>
      <c r="H26" s="7">
        <v>14</v>
      </c>
      <c r="I26" s="7">
        <v>0</v>
      </c>
      <c r="J26" s="7">
        <v>11</v>
      </c>
      <c r="K26" s="7">
        <v>0</v>
      </c>
      <c r="L26" s="7"/>
      <c r="M26" s="7"/>
      <c r="N26" s="7"/>
      <c r="O26" s="7"/>
      <c r="P26" s="7"/>
      <c r="Q26" s="7" t="s">
        <v>19</v>
      </c>
      <c r="R26" s="7" t="s">
        <v>19</v>
      </c>
      <c r="S26" s="7"/>
      <c r="T26" s="14"/>
      <c r="V26">
        <f t="shared" si="0"/>
        <v>2</v>
      </c>
      <c r="W26">
        <f t="shared" si="1"/>
        <v>38</v>
      </c>
      <c r="X26">
        <f t="shared" si="2"/>
        <v>76</v>
      </c>
    </row>
    <row r="27" spans="1:24" ht="51" x14ac:dyDescent="0.2">
      <c r="A27" s="11" t="s">
        <v>166</v>
      </c>
      <c r="B27" s="2" t="s">
        <v>167</v>
      </c>
      <c r="C27" s="3" t="s">
        <v>168</v>
      </c>
      <c r="D27" s="4">
        <v>6</v>
      </c>
      <c r="E27" s="4">
        <v>11</v>
      </c>
      <c r="F27" s="4">
        <v>7</v>
      </c>
      <c r="G27" s="4">
        <v>16</v>
      </c>
      <c r="H27" s="4">
        <v>0</v>
      </c>
      <c r="I27" s="4">
        <v>0</v>
      </c>
      <c r="J27" s="4">
        <v>6</v>
      </c>
      <c r="K27" s="4">
        <v>0</v>
      </c>
      <c r="L27" s="4"/>
      <c r="M27" s="4"/>
      <c r="N27" s="4" t="s">
        <v>19</v>
      </c>
      <c r="O27" s="4" t="s">
        <v>19</v>
      </c>
      <c r="P27" s="4" t="s">
        <v>19</v>
      </c>
      <c r="Q27" s="4"/>
      <c r="R27" s="4"/>
      <c r="S27" s="4"/>
      <c r="T27" s="12"/>
      <c r="V27">
        <f t="shared" si="0"/>
        <v>3</v>
      </c>
      <c r="W27">
        <f t="shared" si="1"/>
        <v>46</v>
      </c>
      <c r="X27">
        <f t="shared" si="2"/>
        <v>138</v>
      </c>
    </row>
    <row r="28" spans="1:24" ht="34" x14ac:dyDescent="0.2">
      <c r="A28" s="11"/>
      <c r="B28" s="2" t="s">
        <v>169</v>
      </c>
      <c r="C28" s="3" t="s">
        <v>170</v>
      </c>
      <c r="D28" s="4">
        <v>6</v>
      </c>
      <c r="E28" s="4">
        <v>10</v>
      </c>
      <c r="F28" s="4">
        <v>12</v>
      </c>
      <c r="G28" s="4">
        <v>12</v>
      </c>
      <c r="H28" s="4">
        <v>0</v>
      </c>
      <c r="I28" s="4">
        <v>0</v>
      </c>
      <c r="J28" s="4">
        <v>6</v>
      </c>
      <c r="K28" s="4">
        <v>0</v>
      </c>
      <c r="L28" s="4"/>
      <c r="M28" s="4"/>
      <c r="N28" s="4"/>
      <c r="O28" s="4" t="s">
        <v>19</v>
      </c>
      <c r="P28" s="4" t="s">
        <v>19</v>
      </c>
      <c r="Q28" s="4" t="s">
        <v>19</v>
      </c>
      <c r="R28" s="4"/>
      <c r="S28" s="4"/>
      <c r="T28" s="12"/>
      <c r="V28">
        <f t="shared" si="0"/>
        <v>3</v>
      </c>
      <c r="W28">
        <f t="shared" si="1"/>
        <v>46</v>
      </c>
      <c r="X28">
        <f t="shared" si="2"/>
        <v>138</v>
      </c>
    </row>
    <row r="29" spans="1:24" ht="51" x14ac:dyDescent="0.2">
      <c r="A29" s="11"/>
      <c r="B29" s="2" t="s">
        <v>171</v>
      </c>
      <c r="C29" s="3" t="s">
        <v>172</v>
      </c>
      <c r="D29" s="4">
        <v>6</v>
      </c>
      <c r="E29" s="4">
        <v>8</v>
      </c>
      <c r="F29" s="4">
        <v>4</v>
      </c>
      <c r="G29" s="4">
        <v>7</v>
      </c>
      <c r="H29" s="4">
        <v>0</v>
      </c>
      <c r="I29" s="4">
        <v>0</v>
      </c>
      <c r="J29" s="4">
        <v>7</v>
      </c>
      <c r="K29" s="4">
        <v>0</v>
      </c>
      <c r="L29" s="4"/>
      <c r="M29" s="4"/>
      <c r="N29" s="4"/>
      <c r="O29" s="4" t="s">
        <v>19</v>
      </c>
      <c r="P29" s="4" t="s">
        <v>19</v>
      </c>
      <c r="Q29" s="4" t="s">
        <v>19</v>
      </c>
      <c r="R29" s="4"/>
      <c r="S29" s="4"/>
      <c r="T29" s="12"/>
      <c r="V29">
        <f t="shared" si="0"/>
        <v>3</v>
      </c>
      <c r="W29">
        <f t="shared" si="1"/>
        <v>32</v>
      </c>
      <c r="X29">
        <f t="shared" si="2"/>
        <v>96</v>
      </c>
    </row>
    <row r="30" spans="1:24" ht="34" x14ac:dyDescent="0.2">
      <c r="A30" s="11"/>
      <c r="B30" s="2" t="s">
        <v>173</v>
      </c>
      <c r="C30" s="3" t="s">
        <v>174</v>
      </c>
      <c r="D30" s="4">
        <v>6</v>
      </c>
      <c r="E30" s="4">
        <v>8</v>
      </c>
      <c r="F30" s="4">
        <v>6</v>
      </c>
      <c r="G30" s="4">
        <v>11</v>
      </c>
      <c r="H30" s="4">
        <v>0</v>
      </c>
      <c r="I30" s="4">
        <v>0</v>
      </c>
      <c r="J30" s="4">
        <v>7</v>
      </c>
      <c r="K30" s="4">
        <v>0</v>
      </c>
      <c r="L30" s="4"/>
      <c r="M30" s="4"/>
      <c r="N30" s="4"/>
      <c r="O30" s="4"/>
      <c r="P30" s="4" t="s">
        <v>19</v>
      </c>
      <c r="Q30" s="4" t="s">
        <v>19</v>
      </c>
      <c r="R30" s="4"/>
      <c r="S30" s="4"/>
      <c r="T30" s="12"/>
      <c r="V30">
        <f t="shared" si="0"/>
        <v>2</v>
      </c>
      <c r="W30">
        <f t="shared" si="1"/>
        <v>38</v>
      </c>
      <c r="X30">
        <f t="shared" si="2"/>
        <v>76</v>
      </c>
    </row>
    <row r="31" spans="1:24" ht="34" x14ac:dyDescent="0.2">
      <c r="A31" s="15" t="s">
        <v>175</v>
      </c>
      <c r="B31" s="8" t="s">
        <v>176</v>
      </c>
      <c r="C31" s="9" t="s">
        <v>177</v>
      </c>
      <c r="D31" s="10">
        <v>6</v>
      </c>
      <c r="E31" s="10">
        <v>6</v>
      </c>
      <c r="F31" s="10">
        <v>11</v>
      </c>
      <c r="G31" s="10">
        <v>7</v>
      </c>
      <c r="H31" s="10">
        <v>7</v>
      </c>
      <c r="I31" s="10">
        <v>0</v>
      </c>
      <c r="J31" s="10">
        <v>6</v>
      </c>
      <c r="K31" s="10">
        <v>0</v>
      </c>
      <c r="L31" s="10"/>
      <c r="M31" s="10"/>
      <c r="N31" s="10"/>
      <c r="O31" s="10"/>
      <c r="P31" s="10" t="s">
        <v>19</v>
      </c>
      <c r="Q31" s="10" t="s">
        <v>19</v>
      </c>
      <c r="R31" s="10" t="s">
        <v>19</v>
      </c>
      <c r="S31" s="10"/>
      <c r="T31" s="16"/>
      <c r="V31">
        <f t="shared" si="0"/>
        <v>3</v>
      </c>
      <c r="W31">
        <f t="shared" si="1"/>
        <v>43</v>
      </c>
      <c r="X31">
        <f t="shared" si="2"/>
        <v>129</v>
      </c>
    </row>
    <row r="32" spans="1:24" ht="34" x14ac:dyDescent="0.2">
      <c r="A32" s="11"/>
      <c r="B32" s="2" t="s">
        <v>178</v>
      </c>
      <c r="C32" s="3" t="s">
        <v>179</v>
      </c>
      <c r="D32" s="4">
        <v>4</v>
      </c>
      <c r="E32" s="4">
        <v>3</v>
      </c>
      <c r="F32" s="4">
        <v>4</v>
      </c>
      <c r="G32" s="4">
        <v>0</v>
      </c>
      <c r="H32" s="4">
        <v>4</v>
      </c>
      <c r="I32" s="4">
        <v>0</v>
      </c>
      <c r="J32" s="4">
        <v>0</v>
      </c>
      <c r="K32" s="4">
        <v>4</v>
      </c>
      <c r="L32" s="4"/>
      <c r="M32" s="4"/>
      <c r="N32" s="4"/>
      <c r="O32" s="4"/>
      <c r="P32" s="4" t="s">
        <v>19</v>
      </c>
      <c r="Q32" s="4" t="s">
        <v>19</v>
      </c>
      <c r="R32" s="4" t="s">
        <v>19</v>
      </c>
      <c r="S32" s="4"/>
      <c r="T32" s="12"/>
      <c r="V32">
        <f t="shared" si="0"/>
        <v>3</v>
      </c>
      <c r="W32">
        <f t="shared" si="1"/>
        <v>19</v>
      </c>
      <c r="X32">
        <f t="shared" si="2"/>
        <v>57</v>
      </c>
    </row>
    <row r="33" spans="1:25" ht="34" x14ac:dyDescent="0.2">
      <c r="A33" s="11"/>
      <c r="B33" s="2" t="s">
        <v>180</v>
      </c>
      <c r="C33" s="3" t="s">
        <v>181</v>
      </c>
      <c r="D33" s="4">
        <v>6</v>
      </c>
      <c r="E33" s="4">
        <v>3</v>
      </c>
      <c r="F33" s="4">
        <v>3</v>
      </c>
      <c r="G33" s="4">
        <v>3</v>
      </c>
      <c r="H33" s="4">
        <v>3</v>
      </c>
      <c r="I33" s="4">
        <v>0</v>
      </c>
      <c r="J33" s="4">
        <v>7</v>
      </c>
      <c r="K33" s="4">
        <v>3</v>
      </c>
      <c r="L33" s="4"/>
      <c r="M33" s="4"/>
      <c r="N33" s="4"/>
      <c r="O33" s="4"/>
      <c r="P33" s="4"/>
      <c r="Q33" s="4" t="s">
        <v>19</v>
      </c>
      <c r="R33" s="4" t="s">
        <v>19</v>
      </c>
      <c r="S33" s="4" t="s">
        <v>19</v>
      </c>
      <c r="T33" s="12"/>
      <c r="V33">
        <f t="shared" si="0"/>
        <v>3</v>
      </c>
      <c r="W33">
        <f t="shared" si="1"/>
        <v>28</v>
      </c>
      <c r="X33">
        <f t="shared" si="2"/>
        <v>84</v>
      </c>
    </row>
    <row r="34" spans="1:25" ht="34" x14ac:dyDescent="0.2">
      <c r="A34" s="13"/>
      <c r="B34" s="5" t="s">
        <v>182</v>
      </c>
      <c r="C34" s="6" t="s">
        <v>183</v>
      </c>
      <c r="D34" s="7">
        <v>6</v>
      </c>
      <c r="E34" s="7">
        <v>4</v>
      </c>
      <c r="F34" s="7">
        <v>0</v>
      </c>
      <c r="G34" s="7">
        <v>0</v>
      </c>
      <c r="H34" s="7">
        <v>0</v>
      </c>
      <c r="I34" s="7">
        <v>3</v>
      </c>
      <c r="J34" s="7">
        <v>0</v>
      </c>
      <c r="K34" s="7">
        <v>3</v>
      </c>
      <c r="L34" s="7"/>
      <c r="M34" s="7"/>
      <c r="N34" s="7"/>
      <c r="O34" s="7"/>
      <c r="P34" s="7"/>
      <c r="Q34" s="7"/>
      <c r="R34" s="7" t="s">
        <v>19</v>
      </c>
      <c r="S34" s="7" t="s">
        <v>19</v>
      </c>
      <c r="T34" s="14" t="s">
        <v>19</v>
      </c>
      <c r="V34">
        <f t="shared" si="0"/>
        <v>3</v>
      </c>
      <c r="W34">
        <f t="shared" si="1"/>
        <v>16</v>
      </c>
      <c r="X34">
        <f t="shared" si="2"/>
        <v>48</v>
      </c>
    </row>
    <row r="35" spans="1:25" ht="34" x14ac:dyDescent="0.2">
      <c r="A35" s="11" t="s">
        <v>184</v>
      </c>
      <c r="B35" s="2" t="s">
        <v>185</v>
      </c>
      <c r="C35" s="3" t="s">
        <v>186</v>
      </c>
      <c r="D35" s="4">
        <v>4</v>
      </c>
      <c r="E35" s="4">
        <v>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7</v>
      </c>
      <c r="L35" s="4" t="s">
        <v>19</v>
      </c>
      <c r="M35" s="4" t="s">
        <v>19</v>
      </c>
      <c r="N35" s="4"/>
      <c r="O35" s="4"/>
      <c r="P35" s="4"/>
      <c r="Q35" s="4"/>
      <c r="R35" s="4"/>
      <c r="S35" s="4"/>
      <c r="T35" s="12"/>
      <c r="V35">
        <f t="shared" si="0"/>
        <v>2</v>
      </c>
      <c r="W35">
        <f t="shared" si="1"/>
        <v>13</v>
      </c>
      <c r="X35">
        <f t="shared" si="2"/>
        <v>26</v>
      </c>
    </row>
    <row r="36" spans="1:25" ht="34" x14ac:dyDescent="0.2">
      <c r="A36" s="11"/>
      <c r="B36" s="2" t="s">
        <v>187</v>
      </c>
      <c r="C36" s="3" t="s">
        <v>188</v>
      </c>
      <c r="D36" s="4">
        <v>3</v>
      </c>
      <c r="E36" s="4">
        <v>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7</v>
      </c>
      <c r="L36" s="4"/>
      <c r="M36" s="4" t="s">
        <v>19</v>
      </c>
      <c r="N36" s="4" t="s">
        <v>19</v>
      </c>
      <c r="O36" s="4"/>
      <c r="P36" s="4"/>
      <c r="Q36" s="4"/>
      <c r="R36" s="4"/>
      <c r="S36" s="4"/>
      <c r="T36" s="12"/>
      <c r="V36">
        <f t="shared" si="0"/>
        <v>2</v>
      </c>
      <c r="W36">
        <f t="shared" si="1"/>
        <v>12</v>
      </c>
      <c r="X36">
        <f t="shared" si="2"/>
        <v>24</v>
      </c>
    </row>
    <row r="37" spans="1:25" ht="34" x14ac:dyDescent="0.2">
      <c r="A37" s="11"/>
      <c r="B37" s="2" t="s">
        <v>189</v>
      </c>
      <c r="C37" s="3" t="s">
        <v>190</v>
      </c>
      <c r="D37" s="4">
        <v>3</v>
      </c>
      <c r="E37" s="4">
        <v>2</v>
      </c>
      <c r="F37" s="4">
        <v>6</v>
      </c>
      <c r="G37" s="4">
        <v>0</v>
      </c>
      <c r="H37" s="4">
        <v>0</v>
      </c>
      <c r="I37" s="4">
        <v>0</v>
      </c>
      <c r="J37" s="4">
        <v>0</v>
      </c>
      <c r="K37" s="4">
        <v>8</v>
      </c>
      <c r="L37" s="4"/>
      <c r="M37" s="4"/>
      <c r="N37" s="4" t="s">
        <v>19</v>
      </c>
      <c r="O37" s="4" t="s">
        <v>19</v>
      </c>
      <c r="P37" s="4"/>
      <c r="Q37" s="4"/>
      <c r="R37" s="4"/>
      <c r="S37" s="4"/>
      <c r="T37" s="12"/>
      <c r="V37">
        <f t="shared" si="0"/>
        <v>2</v>
      </c>
      <c r="W37">
        <f t="shared" si="1"/>
        <v>19</v>
      </c>
      <c r="X37">
        <f t="shared" si="2"/>
        <v>38</v>
      </c>
    </row>
    <row r="38" spans="1:25" ht="34" x14ac:dyDescent="0.2">
      <c r="A38" s="11"/>
      <c r="B38" s="2" t="s">
        <v>191</v>
      </c>
      <c r="C38" s="3" t="s">
        <v>192</v>
      </c>
      <c r="D38" s="4">
        <v>3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11</v>
      </c>
      <c r="L38" s="4"/>
      <c r="M38" s="4"/>
      <c r="N38" s="4"/>
      <c r="O38" s="4" t="s">
        <v>19</v>
      </c>
      <c r="P38" s="4" t="s">
        <v>19</v>
      </c>
      <c r="Q38" s="4" t="s">
        <v>19</v>
      </c>
      <c r="R38" s="4" t="s">
        <v>19</v>
      </c>
      <c r="S38" s="4"/>
      <c r="T38" s="12"/>
      <c r="V38">
        <f t="shared" si="0"/>
        <v>4</v>
      </c>
      <c r="W38">
        <f t="shared" si="1"/>
        <v>14</v>
      </c>
      <c r="X38">
        <f t="shared" si="2"/>
        <v>56</v>
      </c>
    </row>
    <row r="39" spans="1:25" ht="35" thickBot="1" x14ac:dyDescent="0.25">
      <c r="A39" s="17"/>
      <c r="B39" s="18" t="s">
        <v>193</v>
      </c>
      <c r="C39" s="19" t="s">
        <v>194</v>
      </c>
      <c r="D39" s="20">
        <v>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14</v>
      </c>
      <c r="L39" s="20"/>
      <c r="M39" s="20"/>
      <c r="N39" s="20"/>
      <c r="O39" s="20"/>
      <c r="P39" s="20" t="s">
        <v>19</v>
      </c>
      <c r="Q39" s="20" t="s">
        <v>19</v>
      </c>
      <c r="R39" s="20" t="s">
        <v>19</v>
      </c>
      <c r="S39" s="20" t="s">
        <v>19</v>
      </c>
      <c r="T39" s="21" t="s">
        <v>19</v>
      </c>
      <c r="V39">
        <f t="shared" si="0"/>
        <v>5</v>
      </c>
      <c r="W39">
        <f t="shared" si="1"/>
        <v>17</v>
      </c>
      <c r="X39">
        <f t="shared" si="2"/>
        <v>85</v>
      </c>
    </row>
    <row r="40" spans="1:25" ht="17" x14ac:dyDescent="0.2">
      <c r="C40" s="29" t="s">
        <v>197</v>
      </c>
      <c r="D40">
        <f>SUMPRODUCT(D2:D39,$V$2:$V$39)</f>
        <v>477</v>
      </c>
      <c r="E40">
        <f t="shared" ref="E40:K40" si="3">SUMPRODUCT(E2:E39,$V$2:$V$39)</f>
        <v>663</v>
      </c>
      <c r="F40">
        <f t="shared" si="3"/>
        <v>549</v>
      </c>
      <c r="G40">
        <f t="shared" si="3"/>
        <v>727</v>
      </c>
      <c r="H40">
        <f t="shared" si="3"/>
        <v>276</v>
      </c>
      <c r="I40">
        <f t="shared" si="3"/>
        <v>129</v>
      </c>
      <c r="J40">
        <f t="shared" si="3"/>
        <v>352</v>
      </c>
      <c r="K40">
        <f t="shared" si="3"/>
        <v>188</v>
      </c>
      <c r="X40">
        <f>SUM(X2:X39)</f>
        <v>3361</v>
      </c>
      <c r="Y40" t="s">
        <v>197</v>
      </c>
    </row>
    <row r="41" spans="1:25" ht="17" x14ac:dyDescent="0.2">
      <c r="C41" s="29" t="s">
        <v>199</v>
      </c>
      <c r="D41" s="30">
        <f>D40/9</f>
        <v>53</v>
      </c>
      <c r="E41" s="30">
        <f t="shared" ref="E41:K41" si="4">E40/9</f>
        <v>73.666666666666671</v>
      </c>
      <c r="F41" s="30">
        <f t="shared" si="4"/>
        <v>61</v>
      </c>
      <c r="G41" s="30">
        <f t="shared" si="4"/>
        <v>80.777777777777771</v>
      </c>
      <c r="H41" s="30">
        <f t="shared" si="4"/>
        <v>30.666666666666668</v>
      </c>
      <c r="I41" s="30">
        <f t="shared" si="4"/>
        <v>14.333333333333334</v>
      </c>
      <c r="J41" s="30">
        <f t="shared" si="4"/>
        <v>39.111111111111114</v>
      </c>
      <c r="K41" s="30">
        <f t="shared" si="4"/>
        <v>20.888888888888889</v>
      </c>
      <c r="X41" s="28">
        <v>18.75</v>
      </c>
      <c r="Y41" t="s">
        <v>198</v>
      </c>
    </row>
    <row r="42" spans="1:25" ht="17" x14ac:dyDescent="0.2">
      <c r="C42" s="29" t="s">
        <v>200</v>
      </c>
      <c r="D42" s="30">
        <f>D41/4</f>
        <v>13.25</v>
      </c>
      <c r="E42" s="30">
        <f t="shared" ref="E42:K42" si="5">E41/4</f>
        <v>18.416666666666668</v>
      </c>
      <c r="F42" s="30">
        <f t="shared" si="5"/>
        <v>15.25</v>
      </c>
      <c r="G42" s="30">
        <f t="shared" si="5"/>
        <v>20.194444444444443</v>
      </c>
      <c r="H42" s="30">
        <f t="shared" si="5"/>
        <v>7.666666666666667</v>
      </c>
      <c r="I42" s="30">
        <f t="shared" si="5"/>
        <v>3.5833333333333335</v>
      </c>
      <c r="J42" s="30">
        <f t="shared" si="5"/>
        <v>9.7777777777777786</v>
      </c>
      <c r="K42" s="30">
        <f t="shared" si="5"/>
        <v>5.2222222222222223</v>
      </c>
      <c r="X42" s="33">
        <f>X40*X41</f>
        <v>63018.75</v>
      </c>
      <c r="Y42" s="32" t="s">
        <v>201</v>
      </c>
    </row>
  </sheetData>
  <mergeCells count="9">
    <mergeCell ref="A27:A30"/>
    <mergeCell ref="A31:A34"/>
    <mergeCell ref="A35:A39"/>
    <mergeCell ref="A2:A5"/>
    <mergeCell ref="A6:A9"/>
    <mergeCell ref="A10:A13"/>
    <mergeCell ref="A14:A17"/>
    <mergeCell ref="A18:A21"/>
    <mergeCell ref="A22:A26"/>
  </mergeCells>
  <conditionalFormatting sqref="L2:T39">
    <cfRule type="cellIs" dxfId="4" priority="1" operator="equal">
      <formula>"X"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D019-6BA6-FF4F-B264-B274B3933C97}">
  <dimension ref="A1:S14"/>
  <sheetViews>
    <sheetView workbookViewId="0">
      <selection activeCell="G28" sqref="G28"/>
    </sheetView>
  </sheetViews>
  <sheetFormatPr baseColWidth="10" defaultRowHeight="16" x14ac:dyDescent="0.2"/>
  <cols>
    <col min="1" max="1" width="14.1640625" style="27" bestFit="1" customWidth="1"/>
    <col min="2" max="2" width="10.83203125" style="27"/>
    <col min="3" max="3" width="19.1640625" style="27" bestFit="1" customWidth="1"/>
    <col min="4" max="16384" width="10.83203125" style="27"/>
  </cols>
  <sheetData>
    <row r="1" spans="1:19" x14ac:dyDescent="0.2">
      <c r="A1" s="27" t="s">
        <v>211</v>
      </c>
      <c r="B1" s="35">
        <v>0.75</v>
      </c>
    </row>
    <row r="3" spans="1:19" x14ac:dyDescent="0.2">
      <c r="D3" s="34">
        <v>2026</v>
      </c>
      <c r="E3" s="34"/>
      <c r="F3" s="34"/>
      <c r="G3" s="34"/>
      <c r="H3" s="34">
        <v>2027</v>
      </c>
      <c r="I3" s="34"/>
      <c r="J3" s="34"/>
      <c r="K3" s="34"/>
      <c r="L3" s="34">
        <v>2028</v>
      </c>
      <c r="M3" s="34"/>
      <c r="N3" s="34"/>
      <c r="O3" s="34"/>
      <c r="P3" s="34">
        <v>2029</v>
      </c>
      <c r="Q3" s="34"/>
      <c r="R3" s="34"/>
      <c r="S3" s="34"/>
    </row>
    <row r="4" spans="1:19" x14ac:dyDescent="0.2">
      <c r="D4" s="27" t="s">
        <v>202</v>
      </c>
      <c r="E4" s="27" t="s">
        <v>203</v>
      </c>
      <c r="F4" s="27" t="s">
        <v>204</v>
      </c>
      <c r="G4" s="27" t="s">
        <v>205</v>
      </c>
      <c r="H4" s="27" t="s">
        <v>202</v>
      </c>
      <c r="I4" s="27" t="s">
        <v>203</v>
      </c>
      <c r="J4" s="27" t="s">
        <v>204</v>
      </c>
      <c r="K4" s="27" t="s">
        <v>205</v>
      </c>
      <c r="L4" s="27" t="s">
        <v>202</v>
      </c>
      <c r="M4" s="27" t="s">
        <v>203</v>
      </c>
      <c r="N4" s="27" t="s">
        <v>204</v>
      </c>
      <c r="O4" s="27" t="s">
        <v>205</v>
      </c>
      <c r="P4" s="27" t="s">
        <v>202</v>
      </c>
      <c r="Q4" s="27" t="s">
        <v>203</v>
      </c>
      <c r="R4" s="27" t="s">
        <v>204</v>
      </c>
      <c r="S4" s="27" t="s">
        <v>205</v>
      </c>
    </row>
    <row r="5" spans="1:19" x14ac:dyDescent="0.2">
      <c r="C5" s="27" t="s">
        <v>209</v>
      </c>
      <c r="D5" s="30"/>
      <c r="E5" s="30"/>
      <c r="F5" s="30">
        <v>1</v>
      </c>
      <c r="G5" s="30">
        <f>F5*(1+$B$1)</f>
        <v>1.75</v>
      </c>
      <c r="H5" s="30">
        <f t="shared" ref="H5:S5" si="0">G5*(1+$B$1)</f>
        <v>3.0625</v>
      </c>
      <c r="I5" s="30">
        <f t="shared" si="0"/>
        <v>5.359375</v>
      </c>
      <c r="J5" s="30">
        <f t="shared" si="0"/>
        <v>9.37890625</v>
      </c>
      <c r="K5" s="30">
        <f t="shared" si="0"/>
        <v>16.4130859375</v>
      </c>
      <c r="L5" s="30">
        <f t="shared" si="0"/>
        <v>28.722900390625</v>
      </c>
      <c r="M5" s="30">
        <f t="shared" si="0"/>
        <v>50.26507568359375</v>
      </c>
      <c r="N5" s="30">
        <f t="shared" si="0"/>
        <v>87.963882446289062</v>
      </c>
      <c r="O5" s="30">
        <f t="shared" si="0"/>
        <v>153.93679428100586</v>
      </c>
      <c r="P5" s="30">
        <f t="shared" si="0"/>
        <v>269.38938999176025</v>
      </c>
      <c r="Q5" s="30">
        <f t="shared" si="0"/>
        <v>471.43143248558044</v>
      </c>
      <c r="R5" s="30">
        <f t="shared" si="0"/>
        <v>825.00500684976578</v>
      </c>
      <c r="S5" s="30">
        <f t="shared" si="0"/>
        <v>1443.7587619870901</v>
      </c>
    </row>
    <row r="8" spans="1:19" x14ac:dyDescent="0.2">
      <c r="D8" s="34">
        <v>2026</v>
      </c>
      <c r="E8" s="34"/>
      <c r="F8" s="34"/>
      <c r="G8" s="34"/>
      <c r="H8" s="34">
        <v>2027</v>
      </c>
      <c r="I8" s="34"/>
      <c r="J8" s="34"/>
      <c r="K8" s="34"/>
      <c r="L8" s="34">
        <v>2028</v>
      </c>
      <c r="M8" s="34"/>
      <c r="N8" s="34"/>
      <c r="O8" s="34"/>
      <c r="P8" s="34">
        <v>2029</v>
      </c>
      <c r="Q8" s="34"/>
      <c r="R8" s="34"/>
      <c r="S8" s="34"/>
    </row>
    <row r="9" spans="1:19" x14ac:dyDescent="0.2">
      <c r="D9" s="27" t="s">
        <v>202</v>
      </c>
      <c r="E9" s="27" t="s">
        <v>203</v>
      </c>
      <c r="F9" s="27" t="s">
        <v>204</v>
      </c>
      <c r="G9" s="27" t="s">
        <v>205</v>
      </c>
      <c r="H9" s="27" t="s">
        <v>202</v>
      </c>
      <c r="I9" s="27" t="s">
        <v>203</v>
      </c>
      <c r="J9" s="27" t="s">
        <v>204</v>
      </c>
      <c r="K9" s="27" t="s">
        <v>205</v>
      </c>
      <c r="L9" s="27" t="s">
        <v>202</v>
      </c>
      <c r="M9" s="27" t="s">
        <v>203</v>
      </c>
      <c r="N9" s="27" t="s">
        <v>204</v>
      </c>
      <c r="O9" s="27" t="s">
        <v>205</v>
      </c>
      <c r="P9" s="27" t="s">
        <v>202</v>
      </c>
      <c r="Q9" s="27" t="s">
        <v>203</v>
      </c>
      <c r="R9" s="27" t="s">
        <v>204</v>
      </c>
      <c r="S9" s="27" t="s">
        <v>205</v>
      </c>
    </row>
    <row r="10" spans="1:19" x14ac:dyDescent="0.2">
      <c r="A10" s="27" t="s">
        <v>210</v>
      </c>
      <c r="B10" s="27">
        <v>200</v>
      </c>
      <c r="C10" s="36" t="s">
        <v>206</v>
      </c>
      <c r="D10" s="27">
        <v>32000</v>
      </c>
      <c r="G10" s="27">
        <v>63000</v>
      </c>
    </row>
    <row r="11" spans="1:19" x14ac:dyDescent="0.2">
      <c r="C11" s="36" t="s">
        <v>207</v>
      </c>
      <c r="D11" s="27">
        <f>$D$10/2</f>
        <v>16000</v>
      </c>
      <c r="E11" s="27">
        <f>$D$10/2</f>
        <v>16000</v>
      </c>
      <c r="G11" s="27">
        <f>$G$10/3</f>
        <v>21000</v>
      </c>
      <c r="H11" s="27">
        <f>$G$10/3</f>
        <v>21000</v>
      </c>
      <c r="I11" s="27">
        <f>$G$10/3</f>
        <v>21000</v>
      </c>
      <c r="J11" s="27">
        <v>6000</v>
      </c>
      <c r="K11" s="27">
        <v>6000</v>
      </c>
      <c r="L11" s="27">
        <v>6000</v>
      </c>
      <c r="M11" s="27">
        <v>6000</v>
      </c>
      <c r="N11" s="27">
        <v>6000</v>
      </c>
      <c r="O11" s="27">
        <v>6000</v>
      </c>
      <c r="P11" s="27">
        <v>6000</v>
      </c>
      <c r="Q11" s="27">
        <v>6000</v>
      </c>
      <c r="R11" s="27">
        <v>6000</v>
      </c>
      <c r="S11" s="27">
        <v>6000</v>
      </c>
    </row>
    <row r="12" spans="1:19" x14ac:dyDescent="0.2">
      <c r="C12" s="36" t="s">
        <v>208</v>
      </c>
      <c r="F12" s="27">
        <f>$B$10/12*F5</f>
        <v>16.666666666666668</v>
      </c>
      <c r="G12" s="27">
        <f t="shared" ref="G12:S12" si="1">$B$10/12*G5</f>
        <v>29.166666666666668</v>
      </c>
      <c r="H12" s="27">
        <f t="shared" si="1"/>
        <v>51.041666666666671</v>
      </c>
      <c r="I12" s="27">
        <f t="shared" si="1"/>
        <v>89.322916666666671</v>
      </c>
      <c r="J12" s="27">
        <f t="shared" si="1"/>
        <v>156.31510416666669</v>
      </c>
      <c r="K12" s="27">
        <f t="shared" si="1"/>
        <v>273.55143229166669</v>
      </c>
      <c r="L12" s="27">
        <f t="shared" si="1"/>
        <v>478.71500651041669</v>
      </c>
      <c r="M12" s="27">
        <f t="shared" si="1"/>
        <v>837.75126139322924</v>
      </c>
      <c r="N12" s="27">
        <f t="shared" si="1"/>
        <v>1466.0647074381511</v>
      </c>
      <c r="O12" s="27">
        <f t="shared" si="1"/>
        <v>2565.6132380167646</v>
      </c>
      <c r="P12" s="27">
        <f t="shared" si="1"/>
        <v>4489.8231665293379</v>
      </c>
      <c r="Q12" s="27">
        <f t="shared" si="1"/>
        <v>7857.190541426341</v>
      </c>
      <c r="R12" s="27">
        <f t="shared" si="1"/>
        <v>13750.083447496098</v>
      </c>
      <c r="S12" s="27">
        <f>$B$10/12*S5</f>
        <v>24062.64603311817</v>
      </c>
    </row>
    <row r="13" spans="1:19" x14ac:dyDescent="0.2">
      <c r="C13" s="36" t="s">
        <v>212</v>
      </c>
      <c r="D13" s="27">
        <f>(D12+D10)-D11</f>
        <v>16000</v>
      </c>
      <c r="E13" s="27">
        <f t="shared" ref="E13:S13" si="2">(E12+E10)-E11</f>
        <v>-16000</v>
      </c>
      <c r="F13" s="27">
        <f t="shared" si="2"/>
        <v>16.666666666666668</v>
      </c>
      <c r="G13" s="27">
        <f t="shared" si="2"/>
        <v>42029.166666666664</v>
      </c>
      <c r="H13" s="27">
        <f t="shared" si="2"/>
        <v>-20948.958333333332</v>
      </c>
      <c r="I13" s="27">
        <f t="shared" si="2"/>
        <v>-20910.677083333332</v>
      </c>
      <c r="J13" s="27">
        <f t="shared" si="2"/>
        <v>-5843.684895833333</v>
      </c>
      <c r="K13" s="27">
        <f t="shared" si="2"/>
        <v>-5726.448567708333</v>
      </c>
      <c r="L13" s="27">
        <f t="shared" si="2"/>
        <v>-5521.284993489583</v>
      </c>
      <c r="M13" s="27">
        <f t="shared" si="2"/>
        <v>-5162.2487386067705</v>
      </c>
      <c r="N13" s="27">
        <f t="shared" si="2"/>
        <v>-4533.9352925618487</v>
      </c>
      <c r="O13" s="27">
        <f t="shared" si="2"/>
        <v>-3434.3867619832354</v>
      </c>
      <c r="P13" s="27">
        <f t="shared" si="2"/>
        <v>-1510.1768334706621</v>
      </c>
      <c r="Q13" s="27">
        <f t="shared" si="2"/>
        <v>1857.190541426341</v>
      </c>
      <c r="R13" s="27">
        <f t="shared" si="2"/>
        <v>7750.0834474960975</v>
      </c>
      <c r="S13" s="27">
        <f t="shared" si="2"/>
        <v>18062.64603311817</v>
      </c>
    </row>
    <row r="14" spans="1:19" x14ac:dyDescent="0.2">
      <c r="C14" s="36" t="s">
        <v>213</v>
      </c>
      <c r="D14" s="27">
        <f>D13</f>
        <v>16000</v>
      </c>
      <c r="E14" s="27">
        <f>D14+E13</f>
        <v>0</v>
      </c>
      <c r="F14" s="27">
        <f t="shared" ref="F14:S14" si="3">E14+F13</f>
        <v>16.666666666666668</v>
      </c>
      <c r="G14" s="27">
        <f t="shared" si="3"/>
        <v>42045.833333333328</v>
      </c>
      <c r="H14" s="27">
        <f t="shared" si="3"/>
        <v>21096.874999999996</v>
      </c>
      <c r="I14" s="27">
        <f t="shared" si="3"/>
        <v>186.19791666666424</v>
      </c>
      <c r="J14" s="27">
        <f t="shared" si="3"/>
        <v>-5657.4869791666688</v>
      </c>
      <c r="K14" s="27">
        <f t="shared" si="3"/>
        <v>-11383.935546875002</v>
      </c>
      <c r="L14" s="27">
        <f t="shared" si="3"/>
        <v>-16905.220540364586</v>
      </c>
      <c r="M14" s="27">
        <f t="shared" si="3"/>
        <v>-22067.469278971355</v>
      </c>
      <c r="N14" s="27">
        <f t="shared" si="3"/>
        <v>-26601.404571533203</v>
      </c>
      <c r="O14" s="27">
        <f t="shared" si="3"/>
        <v>-30035.791333516438</v>
      </c>
      <c r="P14" s="27">
        <f t="shared" si="3"/>
        <v>-31545.968166987099</v>
      </c>
      <c r="Q14" s="27">
        <f t="shared" si="3"/>
        <v>-29688.777625560757</v>
      </c>
      <c r="R14" s="27">
        <f t="shared" si="3"/>
        <v>-21938.694178064659</v>
      </c>
      <c r="S14" s="27">
        <f t="shared" si="3"/>
        <v>-3876.0481449464896</v>
      </c>
    </row>
  </sheetData>
  <mergeCells count="8">
    <mergeCell ref="D8:G8"/>
    <mergeCell ref="H8:K8"/>
    <mergeCell ref="L8:O8"/>
    <mergeCell ref="P8:S8"/>
    <mergeCell ref="D3:G3"/>
    <mergeCell ref="H3:K3"/>
    <mergeCell ref="L3:O3"/>
    <mergeCell ref="P3:S3"/>
  </mergeCells>
  <phoneticPr fontId="4" type="noConversion"/>
  <conditionalFormatting sqref="D13:S13">
    <cfRule type="cellIs" dxfId="3" priority="4" operator="greaterThan">
      <formula>0</formula>
    </cfRule>
    <cfRule type="cellIs" dxfId="2" priority="3" operator="lessThan">
      <formula>0</formula>
    </cfRule>
  </conditionalFormatting>
  <conditionalFormatting sqref="D14:S14">
    <cfRule type="cellIs" dxfId="0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Trabajo - MVP</vt:lpstr>
      <vt:lpstr>Plan de Trabajo - Proyecto</vt:lpstr>
      <vt:lpstr>Crecimiento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Flores Guzman</dc:creator>
  <cp:lastModifiedBy>Carlos Flores Guzman</cp:lastModifiedBy>
  <dcterms:created xsi:type="dcterms:W3CDTF">2025-11-17T14:16:35Z</dcterms:created>
  <dcterms:modified xsi:type="dcterms:W3CDTF">2025-11-17T16:49:20Z</dcterms:modified>
</cp:coreProperties>
</file>